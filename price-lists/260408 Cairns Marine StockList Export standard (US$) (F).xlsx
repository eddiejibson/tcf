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P:\CompanyData\EXPORT SALES AND LOGISTICS\Export Files\Export Stocklists\2026\1.0\"/>
    </mc:Choice>
  </mc:AlternateContent>
  <xr:revisionPtr revIDLastSave="0" documentId="13_ncr:1_{174E980F-DF53-45B6-B5FF-6DF2F17DAE2D}" xr6:coauthVersionLast="47" xr6:coauthVersionMax="47" xr10:uidLastSave="{00000000-0000-0000-0000-000000000000}"/>
  <bookViews>
    <workbookView xWindow="-28920" yWindow="1260" windowWidth="29040" windowHeight="15720" tabRatio="400" xr2:uid="{00000000-000D-0000-FFFF-FFFF00000000}"/>
  </bookViews>
  <sheets>
    <sheet name="Stocklist" sheetId="1" r:id="rId1"/>
  </sheets>
  <definedNames>
    <definedName name="_xlnm._FilterDatabase" localSheetId="0" hidden="1">Stocklist!$N$29:$N$36</definedName>
    <definedName name="yes_no">Stocklist!$H$22:$H$23</definedName>
    <definedName name="YesNo" localSheetId="0">Stocklist!$K$22:$K$23</definedName>
    <definedName name="yesno">Stocklist!$H$22:$H$23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6" i="1" l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J11" i="1" l="1"/>
  <c r="K11" i="1"/>
</calcChain>
</file>

<file path=xl/sharedStrings.xml><?xml version="1.0" encoding="utf-8"?>
<sst xmlns="http://schemas.openxmlformats.org/spreadsheetml/2006/main" count="1840" uniqueCount="547">
  <si>
    <t>STOCK LIST / ORDER FORM</t>
  </si>
  <si>
    <t>Cairns Marine Pty Ltd   ACN 162 983 673</t>
  </si>
  <si>
    <t>Business Name:</t>
  </si>
  <si>
    <t>Contact Person:</t>
  </si>
  <si>
    <t>Airport Destination (i.e. City):</t>
  </si>
  <si>
    <t>Carrier:</t>
  </si>
  <si>
    <t xml:space="preserve">  Please ensure your account is paid before making your next order.</t>
  </si>
  <si>
    <t>Substitutes:</t>
  </si>
  <si>
    <t xml:space="preserve">   y/n</t>
  </si>
  <si>
    <t>Heat Packs Required:</t>
  </si>
  <si>
    <t>Ice Packs Required:</t>
  </si>
  <si>
    <t>Fillers (to fill a box):</t>
  </si>
  <si>
    <t>Preferred Species:</t>
  </si>
  <si>
    <t>S E N D E R :</t>
  </si>
  <si>
    <t>Order Total</t>
  </si>
  <si>
    <t xml:space="preserve">Available Stock </t>
  </si>
  <si>
    <t>Quantity wanted</t>
  </si>
  <si>
    <t>Cost ($)</t>
  </si>
  <si>
    <t>Contact phone (e.g. mobile #):</t>
  </si>
  <si>
    <t>Scientific Name</t>
  </si>
  <si>
    <t>Common Name</t>
  </si>
  <si>
    <t>Variant</t>
  </si>
  <si>
    <t>Size</t>
  </si>
  <si>
    <t>Units</t>
  </si>
  <si>
    <t>Price</t>
  </si>
  <si>
    <t>Available Stock</t>
  </si>
  <si>
    <t>Quantity Wanted</t>
  </si>
  <si>
    <t>Mixed Coral</t>
  </si>
  <si>
    <t>Live Rock</t>
  </si>
  <si>
    <t>Hard Corals</t>
  </si>
  <si>
    <t>Corallimorpharians</t>
  </si>
  <si>
    <t xml:space="preserve">Anemones </t>
  </si>
  <si>
    <t>Algae</t>
  </si>
  <si>
    <t>Nudibranchs &amp; Flatworms</t>
  </si>
  <si>
    <t>Cnidarians</t>
  </si>
  <si>
    <t>Crabs</t>
  </si>
  <si>
    <t>Sea Cucumbers</t>
  </si>
  <si>
    <t>Shells</t>
  </si>
  <si>
    <t>Shrimps &amp; Lobsters</t>
  </si>
  <si>
    <t>Starfish &amp; Echinoderms</t>
  </si>
  <si>
    <t>Urchins</t>
  </si>
  <si>
    <t>Clams and Bivalves</t>
  </si>
  <si>
    <t>Sharks</t>
  </si>
  <si>
    <t>Eels</t>
  </si>
  <si>
    <t>Seahorses, Dragons &amp; Pipefish</t>
  </si>
  <si>
    <t>Damsels &amp; Chromis</t>
  </si>
  <si>
    <t>Cardinals</t>
  </si>
  <si>
    <t>Anemone Fish</t>
  </si>
  <si>
    <t xml:space="preserve">Anthias &amp; Basslets </t>
  </si>
  <si>
    <t xml:space="preserve">  Orders are shipped without exception, subject to the terms and conditions of supply as stipulated by</t>
  </si>
  <si>
    <t>No. Items</t>
  </si>
  <si>
    <t>Angels</t>
  </si>
  <si>
    <t>Archerfishes</t>
  </si>
  <si>
    <t>Assorted</t>
  </si>
  <si>
    <t>Blennys &amp; Sandperches</t>
  </si>
  <si>
    <t>Butterflies &amp; Bannerfish</t>
  </si>
  <si>
    <t>Dottybacks &amp; Assessors</t>
  </si>
  <si>
    <t>Fusiliers</t>
  </si>
  <si>
    <t>Globefish &amp; Puffers</t>
  </si>
  <si>
    <t>Goatfishes</t>
  </si>
  <si>
    <t xml:space="preserve">Gobies &amp; Gobiodons </t>
  </si>
  <si>
    <t>Hawkfish</t>
  </si>
  <si>
    <t xml:space="preserve">Leatherjackets </t>
  </si>
  <si>
    <t>Puffers</t>
  </si>
  <si>
    <t>Tangs &amp; Surgeons</t>
  </si>
  <si>
    <t xml:space="preserve">Triggerfish &amp; Filefish </t>
  </si>
  <si>
    <t>Wrasse</t>
  </si>
  <si>
    <t>***Collector's Choice***</t>
  </si>
  <si>
    <t>Ascidians</t>
  </si>
  <si>
    <t>Bryozoans</t>
  </si>
  <si>
    <t>Cephalopods</t>
  </si>
  <si>
    <t>Crustaceans</t>
  </si>
  <si>
    <t>Sand</t>
  </si>
  <si>
    <t>Australian Arowanas</t>
  </si>
  <si>
    <t>Boxfish</t>
  </si>
  <si>
    <t>Cardinalfishes</t>
  </si>
  <si>
    <t>Catfishes</t>
  </si>
  <si>
    <t>Cods &amp; Giant Perches</t>
  </si>
  <si>
    <t>Damsels &amp; Cardinals</t>
  </si>
  <si>
    <t>Diamond &amp; Demoiselle Fish</t>
  </si>
  <si>
    <t>Flagtails</t>
  </si>
  <si>
    <t>Fresh Water Sawfish</t>
  </si>
  <si>
    <t xml:space="preserve"> - Corals &amp; Inverts  -</t>
  </si>
  <si>
    <t xml:space="preserve">          - Fishes -</t>
  </si>
  <si>
    <t xml:space="preserve"> </t>
  </si>
  <si>
    <t xml:space="preserve">  Cairns Marine.    If you do not have a terms and conditions document, we'd be happy to send one.</t>
  </si>
  <si>
    <r>
      <t xml:space="preserve">  To help us fullfil your order accurately, please enter your requirements in the </t>
    </r>
    <r>
      <rPr>
        <b/>
        <sz val="8"/>
        <color indexed="8"/>
        <rFont val="Arial"/>
        <family val="2"/>
      </rPr>
      <t>Quantity Wanted</t>
    </r>
    <r>
      <rPr>
        <sz val="8"/>
        <color indexed="8"/>
        <rFont val="Arial"/>
        <family val="2"/>
      </rPr>
      <t xml:space="preserve"> column below.</t>
    </r>
  </si>
  <si>
    <t>Comments</t>
  </si>
  <si>
    <t xml:space="preserve">     When complete,  email the spreadsheet to:</t>
  </si>
  <si>
    <r>
      <t xml:space="preserve">  Record any notes or comments for that stock item in the </t>
    </r>
    <r>
      <rPr>
        <b/>
        <sz val="8"/>
        <color indexed="8"/>
        <rFont val="Arial"/>
        <family val="2"/>
      </rPr>
      <t>Comments</t>
    </r>
    <r>
      <rPr>
        <sz val="8"/>
        <color indexed="8"/>
        <rFont val="Arial"/>
        <family val="2"/>
      </rPr>
      <t xml:space="preserve"> column alongside.</t>
    </r>
  </si>
  <si>
    <t xml:space="preserve">F I L T E R S </t>
  </si>
  <si>
    <t>y</t>
  </si>
  <si>
    <t>n</t>
  </si>
  <si>
    <t xml:space="preserve">14 Industrial Ave., Stratford / P.O. Box 5N, North Cairns, Qld 4870,  Australia       Ph: +61 7 40581711 </t>
  </si>
  <si>
    <t>C O M M E N T S :</t>
  </si>
  <si>
    <t xml:space="preserve">         *** All listed prices are ex-GST ***</t>
  </si>
  <si>
    <t>Pick-up date &amp; time arrival request:</t>
  </si>
  <si>
    <t>Wed 08 Apr 2026</t>
  </si>
  <si>
    <t>es</t>
  </si>
  <si>
    <t>Export standard (US$)</t>
  </si>
  <si>
    <t>ROCK and RUBBLE</t>
  </si>
  <si>
    <t>Rockerostris nano</t>
  </si>
  <si>
    <t>Ideal for nano tank</t>
  </si>
  <si>
    <t>Nano Live Rock</t>
  </si>
  <si>
    <t>Large (0 - 0 cm)</t>
  </si>
  <si>
    <t>ea</t>
  </si>
  <si>
    <t>$50.00</t>
  </si>
  <si>
    <t>50</t>
  </si>
  <si>
    <t>Premium</t>
  </si>
  <si>
    <t>Large</t>
  </si>
  <si>
    <t>105</t>
  </si>
  <si>
    <t>102</t>
  </si>
  <si>
    <t>$95.00</t>
  </si>
  <si>
    <t>95</t>
  </si>
  <si>
    <t>CORALS</t>
  </si>
  <si>
    <t>$4.50</t>
  </si>
  <si>
    <t>4.5</t>
  </si>
  <si>
    <t>Green</t>
  </si>
  <si>
    <t>$15.00</t>
  </si>
  <si>
    <t>15</t>
  </si>
  <si>
    <t>$40.00</t>
  </si>
  <si>
    <t>40</t>
  </si>
  <si>
    <t>$30.00</t>
  </si>
  <si>
    <t>30</t>
  </si>
  <si>
    <t>$55.00</t>
  </si>
  <si>
    <t>55</t>
  </si>
  <si>
    <t>Red</t>
  </si>
  <si>
    <t>$25.00</t>
  </si>
  <si>
    <t>25</t>
  </si>
  <si>
    <t>$35.00</t>
  </si>
  <si>
    <t>35</t>
  </si>
  <si>
    <t>$45.00</t>
  </si>
  <si>
    <t>45</t>
  </si>
  <si>
    <t>$10.00</t>
  </si>
  <si>
    <t>10</t>
  </si>
  <si>
    <t>$12.00</t>
  </si>
  <si>
    <t>12</t>
  </si>
  <si>
    <t>$20.00</t>
  </si>
  <si>
    <t>20</t>
  </si>
  <si>
    <t>Price/Polyp (1 - 25 ea)</t>
  </si>
  <si>
    <t>$3.00</t>
  </si>
  <si>
    <t>3</t>
  </si>
  <si>
    <t>$11.00</t>
  </si>
  <si>
    <t>11</t>
  </si>
  <si>
    <t>$14.00</t>
  </si>
  <si>
    <t>14</t>
  </si>
  <si>
    <t>$4.00</t>
  </si>
  <si>
    <t>4</t>
  </si>
  <si>
    <t>$7.00</t>
  </si>
  <si>
    <t>7</t>
  </si>
  <si>
    <t>$8.50</t>
  </si>
  <si>
    <t>8.5</t>
  </si>
  <si>
    <t>$7.50</t>
  </si>
  <si>
    <t>7.5</t>
  </si>
  <si>
    <t>$18.00</t>
  </si>
  <si>
    <t>18</t>
  </si>
  <si>
    <t>$22.00</t>
  </si>
  <si>
    <t>22</t>
  </si>
  <si>
    <t>$31.00</t>
  </si>
  <si>
    <t>31</t>
  </si>
  <si>
    <t>$12.50</t>
  </si>
  <si>
    <t>12.5</t>
  </si>
  <si>
    <t>$16.00</t>
  </si>
  <si>
    <t>16</t>
  </si>
  <si>
    <t>$9.00</t>
  </si>
  <si>
    <t>9</t>
  </si>
  <si>
    <t>$5.00</t>
  </si>
  <si>
    <t>5</t>
  </si>
  <si>
    <t>&gt; 50</t>
  </si>
  <si>
    <t>$6.00</t>
  </si>
  <si>
    <t>6</t>
  </si>
  <si>
    <t>Medium (2 - 4 cm)</t>
  </si>
  <si>
    <t>$8.00</t>
  </si>
  <si>
    <t>8</t>
  </si>
  <si>
    <t>Small (1 - 6 cm)</t>
  </si>
  <si>
    <t>cm</t>
  </si>
  <si>
    <t>Discosoma spp.</t>
  </si>
  <si>
    <t>Corallimorph</t>
  </si>
  <si>
    <t>Assort</t>
  </si>
  <si>
    <t>$2.50</t>
  </si>
  <si>
    <t>2.5</t>
  </si>
  <si>
    <t>Striped</t>
  </si>
  <si>
    <t>Rhodactis inchoata</t>
  </si>
  <si>
    <t>Persian Rug</t>
  </si>
  <si>
    <t>INVERTS-Tropical</t>
  </si>
  <si>
    <t>Small (1 - 3 cm)</t>
  </si>
  <si>
    <t>Medium (4 - 6 cm)</t>
  </si>
  <si>
    <t>Small (1 - 4 cm)</t>
  </si>
  <si>
    <t>Parthenope sp</t>
  </si>
  <si>
    <t>Elbow Crab/ Stone Crab</t>
  </si>
  <si>
    <t>Large (9 - 12 cm)</t>
  </si>
  <si>
    <t>XtraLarge (12 - 15 cm)</t>
  </si>
  <si>
    <t>$60.00</t>
  </si>
  <si>
    <t>60</t>
  </si>
  <si>
    <t>Pentacta anceps</t>
  </si>
  <si>
    <t>Pink spiny cucumber</t>
  </si>
  <si>
    <t>Large (6 - 8 cm)</t>
  </si>
  <si>
    <t>XtraLarge (8 - 10 cm)</t>
  </si>
  <si>
    <t>Astraea sp</t>
  </si>
  <si>
    <t>Spurred Turban</t>
  </si>
  <si>
    <t>$4.40</t>
  </si>
  <si>
    <t>4.4</t>
  </si>
  <si>
    <t>Haliotis asinina</t>
  </si>
  <si>
    <t>Tropical Abalone</t>
  </si>
  <si>
    <t>C/U Crew</t>
  </si>
  <si>
    <t>XtraLarge (8 - 13 cm)</t>
  </si>
  <si>
    <t>Medium (4 - 8 cm)</t>
  </si>
  <si>
    <t>Medium (3 - 4 cm)</t>
  </si>
  <si>
    <t>Asteropsis carinifera</t>
  </si>
  <si>
    <t>Sheriff-badge Sea Star</t>
  </si>
  <si>
    <t>Medium (8 - 12 cm)</t>
  </si>
  <si>
    <t>Choriaster granulatis</t>
  </si>
  <si>
    <t>Kentia Starfish</t>
  </si>
  <si>
    <t>XtraLarge (24 - 40 cm)</t>
  </si>
  <si>
    <t>Culcita novaguineae</t>
  </si>
  <si>
    <t>Cushion Starfish</t>
  </si>
  <si>
    <t>Medium (10 - 14 cm)</t>
  </si>
  <si>
    <t>Fromia monilis</t>
  </si>
  <si>
    <t>Elegant Starfish</t>
  </si>
  <si>
    <t>XtraLarge (6 - 14 cm)</t>
  </si>
  <si>
    <t>Gomophia sp</t>
  </si>
  <si>
    <t>Assorted Starfish</t>
  </si>
  <si>
    <t>Small (1 - 5 cm)</t>
  </si>
  <si>
    <t>Iconaster sp.</t>
  </si>
  <si>
    <t>Orange Star</t>
  </si>
  <si>
    <t>Medium (5 - 10 cm)</t>
  </si>
  <si>
    <t>Linckia multiflora</t>
  </si>
  <si>
    <t>Mini Roseblotched Star</t>
  </si>
  <si>
    <t>Linckia sp</t>
  </si>
  <si>
    <t>Medium (10 - 16 cm)</t>
  </si>
  <si>
    <t>XtraLarge (24 - 30 cm)</t>
  </si>
  <si>
    <t>Luidia maculata</t>
  </si>
  <si>
    <t>Luidia Starfish</t>
  </si>
  <si>
    <t>Large (16 - 24 cm)</t>
  </si>
  <si>
    <t>Nardoa novaecaledoniae</t>
  </si>
  <si>
    <t>Orange Starfish</t>
  </si>
  <si>
    <t>Small (4 - 8 cm)</t>
  </si>
  <si>
    <t>Large (12 - 16 cm)</t>
  </si>
  <si>
    <t>XtraLarge (16 - 24 cm)</t>
  </si>
  <si>
    <t>Protoreaster sp</t>
  </si>
  <si>
    <t>Thorny Starfish</t>
  </si>
  <si>
    <t>Small (6 - 10 cm)</t>
  </si>
  <si>
    <t>Asthenosoma varium</t>
  </si>
  <si>
    <t>Fire / Stinging Urchin</t>
  </si>
  <si>
    <t>Small (1 - 8 cm)</t>
  </si>
  <si>
    <t>Echinothrix calamaris</t>
  </si>
  <si>
    <t>Banded Urchin</t>
  </si>
  <si>
    <t>Medium (7 - 10 cm)</t>
  </si>
  <si>
    <t>Parasalenia gratiosa</t>
  </si>
  <si>
    <t>Short spined Sea Urchin</t>
  </si>
  <si>
    <t>Medium (5 - 7 cm)</t>
  </si>
  <si>
    <t>Large (7 - 9 cm)</t>
  </si>
  <si>
    <t>Stomopneustes variolaris</t>
  </si>
  <si>
    <t>Black Sea Urchin</t>
  </si>
  <si>
    <t>Tripneustes gratilla</t>
  </si>
  <si>
    <t>Decorator Urchin</t>
  </si>
  <si>
    <t>Large (7 - 10 cm)</t>
  </si>
  <si>
    <t xml:space="preserve">FISH-Tropical </t>
  </si>
  <si>
    <t>Hemiscyllium ocellatum</t>
  </si>
  <si>
    <t>Epaulette Shark</t>
  </si>
  <si>
    <t>Small (25 - 34 cm)</t>
  </si>
  <si>
    <t>$150.00</t>
  </si>
  <si>
    <t>150</t>
  </si>
  <si>
    <t>Hippocampus barbouri</t>
  </si>
  <si>
    <t>Barbour's Seahorse</t>
  </si>
  <si>
    <t>Aquacultured</t>
  </si>
  <si>
    <t>Medium (5 - 8 cm)</t>
  </si>
  <si>
    <t>$59.00</t>
  </si>
  <si>
    <t>59</t>
  </si>
  <si>
    <t>Large (8 - 12 cm)</t>
  </si>
  <si>
    <t>Hippocampus kuda</t>
  </si>
  <si>
    <t>Spotted Seahorse</t>
  </si>
  <si>
    <t>Hippocampus reidi</t>
  </si>
  <si>
    <t>Longsnout Seahorse</t>
  </si>
  <si>
    <t>$80.00</t>
  </si>
  <si>
    <t>80</t>
  </si>
  <si>
    <t>Large (4 - 5 cm)</t>
  </si>
  <si>
    <t>Chromis iomelas</t>
  </si>
  <si>
    <t>Half &amp; Half Chromis</t>
  </si>
  <si>
    <t>Large (7 - 8 cm)</t>
  </si>
  <si>
    <t>Chromis nitida</t>
  </si>
  <si>
    <t>Barrier Reef Chromis</t>
  </si>
  <si>
    <t>Endemic</t>
  </si>
  <si>
    <t>Chromis viridis</t>
  </si>
  <si>
    <t>Green Chromis</t>
  </si>
  <si>
    <t>Medium (4 - 7 cm)</t>
  </si>
  <si>
    <t>$5.75</t>
  </si>
  <si>
    <t>5.75</t>
  </si>
  <si>
    <t>Large (8 - 10 cm)</t>
  </si>
  <si>
    <t>Chrysiptera cyanea</t>
  </si>
  <si>
    <t>Orange Tail Blue Damsels</t>
  </si>
  <si>
    <t>Male</t>
  </si>
  <si>
    <t>XtraLarge (5 - 9 cm)</t>
  </si>
  <si>
    <t>Chrysiptera flavipinnis</t>
  </si>
  <si>
    <t>Yellowfin Damsel</t>
  </si>
  <si>
    <t>Chrysiptera taupou</t>
  </si>
  <si>
    <t>Fijian Damsel</t>
  </si>
  <si>
    <t>Pomacentrus moluccensis</t>
  </si>
  <si>
    <t>Lemon Damsel</t>
  </si>
  <si>
    <t>Cheilodipterus quinquelineatus</t>
  </si>
  <si>
    <t>Five-Lined Cardinal Fish</t>
  </si>
  <si>
    <t>Large (11 - 14 cm)</t>
  </si>
  <si>
    <t>Ostorhinchus doederleini</t>
  </si>
  <si>
    <t>Fourline Cardinalfish</t>
  </si>
  <si>
    <t>Rhabdamia gracilis</t>
  </si>
  <si>
    <t>Slender Cardinals</t>
  </si>
  <si>
    <t>Medium (3 - 5 cm)</t>
  </si>
  <si>
    <t>Taeniamia fucata</t>
  </si>
  <si>
    <t>Narrow-Lined Cardinal Fish</t>
  </si>
  <si>
    <t>Amphiprion akindynos</t>
  </si>
  <si>
    <t>Barrier Reef Clownfish</t>
  </si>
  <si>
    <t>Wild Pair</t>
  </si>
  <si>
    <t>$32.00</t>
  </si>
  <si>
    <t>32</t>
  </si>
  <si>
    <t>Large (5 - 7 cm)</t>
  </si>
  <si>
    <t>XtraLarge (7 - 11 cm)</t>
  </si>
  <si>
    <t>Amphiprion melanopus</t>
  </si>
  <si>
    <t>Tomato Clowns</t>
  </si>
  <si>
    <t>Single</t>
  </si>
  <si>
    <t>$26.00</t>
  </si>
  <si>
    <t>26</t>
  </si>
  <si>
    <t>Amphiprion perideraion</t>
  </si>
  <si>
    <t>Pink Anemonefish</t>
  </si>
  <si>
    <t>Premnas biaculeatus</t>
  </si>
  <si>
    <t>Maroon Clowns</t>
  </si>
  <si>
    <t>XtraLarge (7 - 14 cm)</t>
  </si>
  <si>
    <t>Nemanthias dispar</t>
  </si>
  <si>
    <t>Twotone Anthias</t>
  </si>
  <si>
    <t>Pseudanthias cooperi</t>
  </si>
  <si>
    <t>Flame Basslet</t>
  </si>
  <si>
    <t>Female</t>
  </si>
  <si>
    <t>Pseudanthias pleurotaenia</t>
  </si>
  <si>
    <t>Square-Block Anthias</t>
  </si>
  <si>
    <t>Pseudanthias squamipinnis</t>
  </si>
  <si>
    <t>Lyretail Anthias</t>
  </si>
  <si>
    <t>Centropyge "woodheadi"</t>
  </si>
  <si>
    <t>Black Fin Herald's Angelfish</t>
  </si>
  <si>
    <t>$28.00</t>
  </si>
  <si>
    <t>28</t>
  </si>
  <si>
    <t>XtraLarge (10 - 12 cm)</t>
  </si>
  <si>
    <t>Centropyge bicolor</t>
  </si>
  <si>
    <t>Bicolour Angel</t>
  </si>
  <si>
    <t>Centropyge bispinosa</t>
  </si>
  <si>
    <t>Coral Beauty</t>
  </si>
  <si>
    <t>Centropyge heraldi</t>
  </si>
  <si>
    <t>Herald's Angelfish</t>
  </si>
  <si>
    <t>Centropyge vrolikii- flavissimus</t>
  </si>
  <si>
    <t>Pearlscale Lemonpeel cross</t>
  </si>
  <si>
    <t>Flavi (Yellow)</t>
  </si>
  <si>
    <t>$225.00</t>
  </si>
  <si>
    <t>225</t>
  </si>
  <si>
    <t>Large (12 - 15 cm)</t>
  </si>
  <si>
    <t>Small (5 - 10 cm)</t>
  </si>
  <si>
    <t>Medium (10 - 15 cm)</t>
  </si>
  <si>
    <t>XtraLarge (20 - 25 cm)</t>
  </si>
  <si>
    <t>$100.00</t>
  </si>
  <si>
    <t>100</t>
  </si>
  <si>
    <t>$180.00</t>
  </si>
  <si>
    <t>180</t>
  </si>
  <si>
    <t>Genicanthus watanabei</t>
  </si>
  <si>
    <t>Watanabe's Angelfish</t>
  </si>
  <si>
    <t>Pomacanthus semicirculatus</t>
  </si>
  <si>
    <t>Semicircle Angel</t>
  </si>
  <si>
    <t>Adult</t>
  </si>
  <si>
    <t>XtraLarge (28 - 40 cm)</t>
  </si>
  <si>
    <t>$275.00</t>
  </si>
  <si>
    <t>275</t>
  </si>
  <si>
    <t>Pygoplites diacanthus</t>
  </si>
  <si>
    <t xml:space="preserve">Regal Angelfish </t>
  </si>
  <si>
    <t>Large (15 - 20 cm)</t>
  </si>
  <si>
    <t>Chaetodon auriga</t>
  </si>
  <si>
    <t>Threadfin Butterfly</t>
  </si>
  <si>
    <t>Small (1 - 7 cm)</t>
  </si>
  <si>
    <t>Medium (8 - 11 cm)</t>
  </si>
  <si>
    <t>$23.00</t>
  </si>
  <si>
    <t>23</t>
  </si>
  <si>
    <t>XtraLarge (16 - 23 cm)</t>
  </si>
  <si>
    <t>Chaetodon ephippium</t>
  </si>
  <si>
    <t>Saddled Butterfly</t>
  </si>
  <si>
    <t>Chaetodon melannotus</t>
  </si>
  <si>
    <t>Blackback Butterfly</t>
  </si>
  <si>
    <t>Chaetodon mertensii</t>
  </si>
  <si>
    <t>Merten's Butterfly</t>
  </si>
  <si>
    <t>Chaetodon pelewensis</t>
  </si>
  <si>
    <t>Dot &amp; Dash Butterfly</t>
  </si>
  <si>
    <t>Chaetodon rainfordi</t>
  </si>
  <si>
    <t>Rainford's Butterfly</t>
  </si>
  <si>
    <t>Large (8 - 9 cm)</t>
  </si>
  <si>
    <t>Chaetodon ulietensis</t>
  </si>
  <si>
    <t>Double-saddle Butterfly</t>
  </si>
  <si>
    <t>$27.00</t>
  </si>
  <si>
    <t>27</t>
  </si>
  <si>
    <t>Chaetodon unimaculatus</t>
  </si>
  <si>
    <t>Teardrop Butterfly</t>
  </si>
  <si>
    <t>Chelmon rostratus</t>
  </si>
  <si>
    <t>Copperband Butterfly</t>
  </si>
  <si>
    <t>Large (11 - 15 cm)</t>
  </si>
  <si>
    <t>XtraLarge (16 - 20 cm)</t>
  </si>
  <si>
    <t>Forcipiger flavissimus</t>
  </si>
  <si>
    <t>Forceps Fish</t>
  </si>
  <si>
    <t>Heniochus monoceros</t>
  </si>
  <si>
    <t>Masked Bannerfish</t>
  </si>
  <si>
    <t>Heniochus singularius</t>
  </si>
  <si>
    <t>Singular Bannerfish</t>
  </si>
  <si>
    <t>Initial_Phase</t>
  </si>
  <si>
    <t>Bodianus axillaris</t>
  </si>
  <si>
    <t>Three-spot Hogfish</t>
  </si>
  <si>
    <t>Bodianus diana</t>
  </si>
  <si>
    <t>Diana's Hogfish</t>
  </si>
  <si>
    <t>Large (10 - 20 cm)</t>
  </si>
  <si>
    <t>Choerodon fasciatus</t>
  </si>
  <si>
    <t>Harlequin Tuskfish</t>
  </si>
  <si>
    <t>Cirrhilabrus lineatus</t>
  </si>
  <si>
    <t>Purple Lined Fairy Wrasse</t>
  </si>
  <si>
    <t>XtraLarge (12 - 14 cm)</t>
  </si>
  <si>
    <t>Cirrhilabrus punctatus</t>
  </si>
  <si>
    <t>Dotted Fairy Wrasse</t>
  </si>
  <si>
    <t>XtraLarge (11 - 14 cm)</t>
  </si>
  <si>
    <t>Cirrhilabrus scottorum</t>
  </si>
  <si>
    <t>Rainbow Fairy Wrasse</t>
  </si>
  <si>
    <t>Large (9 - 11 cm)</t>
  </si>
  <si>
    <t>Coris gaimard</t>
  </si>
  <si>
    <t>Flame Wrasse</t>
  </si>
  <si>
    <t>Small (5 - 15 cm)</t>
  </si>
  <si>
    <t>Juvenile</t>
  </si>
  <si>
    <t>Epibulus insidiator</t>
  </si>
  <si>
    <t>Slingjaw Wrasse</t>
  </si>
  <si>
    <t>Medium (9 - 13 cm)</t>
  </si>
  <si>
    <t>Gomphosus varius</t>
  </si>
  <si>
    <t>Birdnose Wrasse</t>
  </si>
  <si>
    <t>Large (10 - 15 cm)</t>
  </si>
  <si>
    <t>Halichoeres biocellatus</t>
  </si>
  <si>
    <t>Neon Wrasse</t>
  </si>
  <si>
    <t>XtraLarge (9 - 12 cm)</t>
  </si>
  <si>
    <t>Halichoeres melanurus</t>
  </si>
  <si>
    <t>Bluetail Wrasse</t>
  </si>
  <si>
    <t>Labroides dimidiatus</t>
  </si>
  <si>
    <t>Cleaner Wrasse</t>
  </si>
  <si>
    <t>Large (6 - 9 cm)</t>
  </si>
  <si>
    <t>Labropsis australis</t>
  </si>
  <si>
    <t>Tubelip Wrasse</t>
  </si>
  <si>
    <t>XtraLarge (9 - 11 cm)</t>
  </si>
  <si>
    <t>Labropsis xanthonota</t>
  </si>
  <si>
    <t>Yellowback Tubelip</t>
  </si>
  <si>
    <t>Macropharyngodon choati</t>
  </si>
  <si>
    <t>Red Leopard</t>
  </si>
  <si>
    <t>$48.00</t>
  </si>
  <si>
    <t>48</t>
  </si>
  <si>
    <t>Macropharyngodon negrosensis</t>
  </si>
  <si>
    <t>Black Leopard</t>
  </si>
  <si>
    <t>Novaculichthys taeniourus</t>
  </si>
  <si>
    <t>Reindeer/Rockmover Wrasse</t>
  </si>
  <si>
    <t>Pseudocheilinus hexataenia</t>
  </si>
  <si>
    <t>Sixstripe Wrasse</t>
  </si>
  <si>
    <t>Large (4 - 6 cm)</t>
  </si>
  <si>
    <t>XtraLarge (6 - 8 cm)</t>
  </si>
  <si>
    <t>Thalassoma lunare</t>
  </si>
  <si>
    <t>Lunare Wrasse</t>
  </si>
  <si>
    <t>Thalassoma lutescens</t>
  </si>
  <si>
    <t>Yellow Lunar Wrasse</t>
  </si>
  <si>
    <t>Acanthurus olivaceus</t>
  </si>
  <si>
    <t>Orange-spot Tang</t>
  </si>
  <si>
    <t>Medium (11 - 14 cm)</t>
  </si>
  <si>
    <t>Naso lituratus</t>
  </si>
  <si>
    <t>Lipstick Tang</t>
  </si>
  <si>
    <t>Tiny (1 - 6 cm)</t>
  </si>
  <si>
    <t>Small (7 - 10 cm)</t>
  </si>
  <si>
    <t>Paracanthurus hepatus</t>
  </si>
  <si>
    <t>Blue Tangs</t>
  </si>
  <si>
    <t>Amblygobius rainfordi</t>
  </si>
  <si>
    <t>Old Glory</t>
  </si>
  <si>
    <t>Medium (2 - 3 cm)</t>
  </si>
  <si>
    <t>Gnatholepis anjerensis</t>
  </si>
  <si>
    <t>Eyebar Goby</t>
  </si>
  <si>
    <t>Pair</t>
  </si>
  <si>
    <t>Valenciennea strigata</t>
  </si>
  <si>
    <t>Gold Head Goby</t>
  </si>
  <si>
    <t>Cirripectes stigmaticus</t>
  </si>
  <si>
    <t>Reticulated Blenny</t>
  </si>
  <si>
    <t>Ecsenius bicolor</t>
  </si>
  <si>
    <t>Bicolor Blenny</t>
  </si>
  <si>
    <t>Ecsenius stictus</t>
  </si>
  <si>
    <t>Great Barrier Reef Blenny</t>
  </si>
  <si>
    <t>$28.50</t>
  </si>
  <si>
    <t>28.5</t>
  </si>
  <si>
    <t>XtraLarge (5 - 6 cm)</t>
  </si>
  <si>
    <t>Enneapterygius tutuilae</t>
  </si>
  <si>
    <t>Highhat Triplefin Blenny</t>
  </si>
  <si>
    <t>Meiacanthus atrodorsalis</t>
  </si>
  <si>
    <t>Canary Blenny</t>
  </si>
  <si>
    <t>Meiacanthus grammistes</t>
  </si>
  <si>
    <t>Striped Blenny</t>
  </si>
  <si>
    <t>Meiacanthus lineatus</t>
  </si>
  <si>
    <t>Lined Blenny</t>
  </si>
  <si>
    <t>Plagiotremus tapeinosoma</t>
  </si>
  <si>
    <t>Piano Blenny</t>
  </si>
  <si>
    <t>Salarias fasciatus</t>
  </si>
  <si>
    <t>Lawnmower Blenny</t>
  </si>
  <si>
    <t>Medium (6 - 9 cm)</t>
  </si>
  <si>
    <t>Assessor flavissimus</t>
  </si>
  <si>
    <t>Yellow Assessor</t>
  </si>
  <si>
    <t>Assessor macneilli</t>
  </si>
  <si>
    <t>Blue Assessor</t>
  </si>
  <si>
    <t>Melichthys vidua</t>
  </si>
  <si>
    <t>Pinktail Triggerfish</t>
  </si>
  <si>
    <t>Large (12 - 17 cm)</t>
  </si>
  <si>
    <t>Odonus niger</t>
  </si>
  <si>
    <t>Redtooth Triggerfish</t>
  </si>
  <si>
    <t>Large (12 - 19 cm)</t>
  </si>
  <si>
    <t>Rhinecanthus lunula</t>
  </si>
  <si>
    <t>Blackspot Triggerfish</t>
  </si>
  <si>
    <t>Small (1 - 11 cm)</t>
  </si>
  <si>
    <t>Sufflamen fraenatum</t>
  </si>
  <si>
    <t>Bridled Triggerfish</t>
  </si>
  <si>
    <t>Small (1 - 12 cm)</t>
  </si>
  <si>
    <t>Xanthichthys auromarginatus</t>
  </si>
  <si>
    <t>Blue Throat Triggerfish</t>
  </si>
  <si>
    <t xml:space="preserve">Boxfish </t>
  </si>
  <si>
    <t>Ostracion cubicus</t>
  </si>
  <si>
    <t>Yellow Boxfish</t>
  </si>
  <si>
    <t>Medium (16 - 23 cm)</t>
  </si>
  <si>
    <t>Large (24 - 31 cm)</t>
  </si>
  <si>
    <t>XtraLarge (32 - 40 cm)</t>
  </si>
  <si>
    <t>$200.00</t>
  </si>
  <si>
    <t>200</t>
  </si>
  <si>
    <t>Ostracion meleagris</t>
  </si>
  <si>
    <t>Spotted Boxfish</t>
  </si>
  <si>
    <t>XtraLarge (14 - 17 cm)</t>
  </si>
  <si>
    <t>Canthigaster compressa</t>
  </si>
  <si>
    <t>Fingerprint Toby</t>
  </si>
  <si>
    <t>Canthigaster valentini</t>
  </si>
  <si>
    <t>Valentini Puffer</t>
  </si>
  <si>
    <t>Neocirrhites armatus</t>
  </si>
  <si>
    <t>Flame Hawk</t>
  </si>
  <si>
    <t>$46.00</t>
  </si>
  <si>
    <t>46</t>
  </si>
  <si>
    <t>$49.00</t>
  </si>
  <si>
    <t>49</t>
  </si>
  <si>
    <t xml:space="preserve">FISH-Subtropical </t>
  </si>
  <si>
    <t>Hippocampus abdominalis</t>
  </si>
  <si>
    <t>Big-belly Seahorse</t>
  </si>
  <si>
    <t xml:space="preserve">Design by </t>
  </si>
  <si>
    <t xml:space="preserve">DataSense® </t>
  </si>
  <si>
    <t>Cairns</t>
  </si>
  <si>
    <t>davidr@cairnsmarine.com</t>
  </si>
  <si>
    <t>Rockerostris purgemetopon</t>
  </si>
  <si>
    <t>Premium Cured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</si>
</sst>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####0"/>
    <numFmt numFmtId="165" formatCode="dd/mm/yy"/>
    <numFmt numFmtId="167" formatCode="&quot;$&quot;\ #,##0.00"/>
  </numFmts>
  <fonts count="31" x14ac:knownFonts="1">
    <font>
      <sz val="10"/>
      <color indexed="8"/>
      <name val="Arial"/>
    </font>
    <font>
      <sz val="11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24"/>
      <color indexed="8"/>
      <name val="Franklin Gothic Medium Cond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rgb="FFFFFFFF"/>
      <name val="Arial"/>
      <family val="2"/>
    </font>
    <font>
      <b/>
      <sz val="9"/>
      <color rgb="FF0000FF"/>
      <name val="Arial"/>
      <family val="2"/>
    </font>
    <font>
      <b/>
      <sz val="10"/>
      <color indexed="8"/>
      <name val="Arial"/>
      <family val="2"/>
    </font>
    <font>
      <b/>
      <sz val="8"/>
      <color theme="8" tint="-0.249977111117893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color rgb="FF0000FF"/>
      <name val="Arial"/>
      <family val="2"/>
    </font>
    <font>
      <b/>
      <sz val="10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sz val="8"/>
      <color theme="4" tint="-0.499984740745262"/>
      <name val="Arial"/>
      <family val="2"/>
    </font>
    <font>
      <b/>
      <sz val="12"/>
      <color theme="4" tint="-0.499984740745262"/>
      <name val="Arial"/>
      <family val="2"/>
    </font>
    <font>
      <b/>
      <sz val="8"/>
      <color theme="4" tint="-0.499984740745262"/>
      <name val="Arial"/>
      <family val="2"/>
    </font>
    <font>
      <b/>
      <sz val="11"/>
      <color theme="8" tint="-0.249977111117893"/>
      <name val="Arial"/>
      <family val="2"/>
    </font>
    <font>
      <sz val="8"/>
      <color rgb="FF0000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FFFFFF"/>
      <name val="Arial"/>
      <family val="2"/>
    </font>
    <font>
      <sz val="8"/>
      <color rgb="FFFFFFFF"/>
      <name val="Times New Roman"/>
      <family val="1"/>
    </font>
    <font>
      <sz val="11"/>
      <color rgb="FFFFFFFF"/>
      <name val="Calibri"/>
      <family val="2"/>
    </font>
    <font>
      <sz val="8"/>
      <color rgb="FF000000"/>
      <name val="Arial"/>
      <family val="2"/>
    </font>
    <font>
      <b/>
      <i/>
      <sz val="16"/>
      <color rgb="FF000000"/>
      <name val="Bradley Hand ITC"/>
      <family val="4"/>
    </font>
    <font>
      <b/>
      <sz val="2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1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2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2" borderId="2" xfId="0" applyFont="1" applyFill="1" applyBorder="1"/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/>
    <xf numFmtId="0" fontId="3" fillId="0" borderId="2" xfId="0" applyFont="1" applyBorder="1"/>
    <xf numFmtId="0" fontId="14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3" fillId="3" borderId="0" xfId="0" applyFont="1" applyFill="1" applyProtection="1">
      <protection locked="0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2" xfId="0" applyFont="1" applyBorder="1"/>
    <xf numFmtId="164" fontId="11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8" fillId="2" borderId="0" xfId="0" applyFont="1" applyFill="1" applyAlignment="1">
      <alignment horizontal="left" vertical="top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9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0" fillId="0" borderId="9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9" fillId="0" borderId="9" xfId="0" applyFont="1" applyBorder="1"/>
    <xf numFmtId="0" fontId="3" fillId="0" borderId="9" xfId="0" applyFont="1" applyBorder="1" applyAlignment="1">
      <alignment horizontal="left" vertical="center"/>
    </xf>
    <xf numFmtId="0" fontId="3" fillId="0" borderId="9" xfId="0" applyFont="1" applyBorder="1"/>
    <xf numFmtId="164" fontId="23" fillId="2" borderId="0" xfId="0" applyNumberFormat="1" applyFont="1" applyFill="1" applyAlignment="1">
      <alignment horizontal="left"/>
    </xf>
    <xf numFmtId="0" fontId="24" fillId="5" borderId="0" xfId="0" applyFont="1" applyFill="1"/>
    <xf numFmtId="0" fontId="24" fillId="5" borderId="0" xfId="0" applyFont="1" applyFill="1" applyProtection="1">
      <protection locked="0"/>
    </xf>
    <xf numFmtId="0" fontId="25" fillId="0" borderId="0" xfId="0" applyFont="1"/>
    <xf numFmtId="164" fontId="23" fillId="0" borderId="0" xfId="0" applyNumberFormat="1" applyFont="1" applyAlignment="1">
      <alignment horizontal="right"/>
    </xf>
    <xf numFmtId="0" fontId="25" fillId="4" borderId="0" xfId="0" applyFont="1" applyFill="1"/>
    <xf numFmtId="0" fontId="24" fillId="4" borderId="0" xfId="0" applyFont="1" applyFill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5" fillId="4" borderId="0" xfId="0" applyFont="1" applyFill="1" applyProtection="1">
      <protection locked="0"/>
    </xf>
    <xf numFmtId="0" fontId="26" fillId="4" borderId="0" xfId="0" applyFont="1" applyFill="1" applyProtection="1">
      <protection locked="0"/>
    </xf>
    <xf numFmtId="0" fontId="23" fillId="0" borderId="0" xfId="0" applyFont="1"/>
    <xf numFmtId="164" fontId="23" fillId="2" borderId="0" xfId="0" applyNumberFormat="1" applyFont="1" applyFill="1" applyAlignment="1">
      <alignment horizontal="right"/>
    </xf>
    <xf numFmtId="164" fontId="23" fillId="0" borderId="1" xfId="0" applyNumberFormat="1" applyFont="1" applyBorder="1" applyAlignment="1">
      <alignment horizontal="right"/>
    </xf>
    <xf numFmtId="0" fontId="25" fillId="0" borderId="2" xfId="0" applyFont="1" applyBorder="1"/>
    <xf numFmtId="0" fontId="25" fillId="0" borderId="0" xfId="0" applyFont="1" applyProtection="1">
      <protection locked="0"/>
    </xf>
    <xf numFmtId="0" fontId="27" fillId="0" borderId="0" xfId="1" applyFont="1" applyAlignment="1" applyProtection="1">
      <alignment wrapText="1"/>
      <protection locked="0"/>
    </xf>
    <xf numFmtId="0" fontId="27" fillId="0" borderId="0" xfId="1" applyFont="1" applyAlignment="1">
      <alignment wrapText="1"/>
    </xf>
    <xf numFmtId="0" fontId="27" fillId="0" borderId="0" xfId="1" applyFont="1" applyProtection="1">
      <protection locked="0"/>
    </xf>
    <xf numFmtId="0" fontId="27" fillId="0" borderId="0" xfId="1" applyFont="1"/>
    <xf numFmtId="0" fontId="27" fillId="0" borderId="0" xfId="1" applyFont="1" applyAlignment="1" applyProtection="1">
      <alignment horizontal="left"/>
      <protection locked="0"/>
    </xf>
    <xf numFmtId="164" fontId="23" fillId="2" borderId="1" xfId="0" applyNumberFormat="1" applyFont="1" applyFill="1" applyBorder="1" applyAlignment="1">
      <alignment horizontal="right"/>
    </xf>
    <xf numFmtId="164" fontId="23" fillId="2" borderId="0" xfId="0" applyNumberFormat="1" applyFont="1" applyFill="1" applyAlignment="1">
      <alignment horizontal="right" vertical="center"/>
    </xf>
    <xf numFmtId="164" fontId="23" fillId="0" borderId="4" xfId="0" applyNumberFormat="1" applyFont="1" applyBorder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11" xfId="0" applyFont="1" applyBorder="1"/>
    <xf numFmtId="0" fontId="23" fillId="0" borderId="1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" xfId="0" applyFont="1" applyBorder="1" applyAlignment="1">
      <alignment horizontal="left"/>
    </xf>
    <xf numFmtId="0" fontId="28" fillId="2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0" fontId="28" fillId="2" borderId="0" xfId="0" applyFont="1" applyFill="1"/>
    <xf numFmtId="0" fontId="28" fillId="0" borderId="1" xfId="0" applyFont="1" applyBorder="1"/>
    <xf numFmtId="0" fontId="28" fillId="0" borderId="0" xfId="0" applyFont="1"/>
    <xf numFmtId="0" fontId="28" fillId="0" borderId="1" xfId="0" applyFont="1" applyBorder="1" applyAlignment="1" applyProtection="1">
      <alignment horizontal="left"/>
      <protection locked="0"/>
    </xf>
    <xf numFmtId="49" fontId="28" fillId="0" borderId="1" xfId="0" applyNumberFormat="1" applyFont="1" applyBorder="1" applyAlignment="1" applyProtection="1">
      <alignment horizontal="left"/>
      <protection locked="0"/>
    </xf>
    <xf numFmtId="165" fontId="28" fillId="0" borderId="1" xfId="0" applyNumberFormat="1" applyFont="1" applyBorder="1" applyAlignment="1" applyProtection="1">
      <alignment horizontal="center"/>
      <protection locked="0"/>
    </xf>
    <xf numFmtId="0" fontId="28" fillId="0" borderId="8" xfId="0" applyFont="1" applyBorder="1" applyAlignment="1" applyProtection="1">
      <alignment horizontal="left"/>
      <protection locked="0"/>
    </xf>
    <xf numFmtId="0" fontId="28" fillId="0" borderId="0" xfId="0" applyFont="1" applyAlignment="1" applyProtection="1">
      <alignment horizontal="left" vertical="center"/>
      <protection locked="0"/>
    </xf>
    <xf numFmtId="0" fontId="28" fillId="0" borderId="7" xfId="0" applyFont="1" applyBorder="1" applyAlignment="1" applyProtection="1">
      <alignment horizontal="left"/>
      <protection locked="0"/>
    </xf>
    <xf numFmtId="0" fontId="28" fillId="2" borderId="0" xfId="0" applyFont="1" applyFill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8" fillId="0" borderId="9" xfId="0" applyFont="1" applyBorder="1"/>
    <xf numFmtId="0" fontId="12" fillId="0" borderId="0" xfId="0" applyFont="1" applyAlignment="1" applyProtection="1">
      <alignment horizontal="center"/>
      <protection locked="0"/>
    </xf>
    <xf numFmtId="49" fontId="2" fillId="0" borderId="0" xfId="0" applyNumberFormat="1" applyFont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4" fontId="28" fillId="0" borderId="0" xfId="0" applyNumberFormat="1" applyFont="1" applyAlignment="1">
      <alignment horizontal="right"/>
    </xf>
    <xf numFmtId="0" fontId="30" fillId="0" borderId="0" xfId="0" applyFont="1" applyAlignment="1">
      <alignment horizontal="left"/>
    </xf>
    <xf numFmtId="167" fontId="18" fillId="2" borderId="0" xfId="0" applyNumberFormat="1" applyFont="1" applyFill="1" applyAlignment="1">
      <alignment horizontal="left"/>
    </xf>
    <xf numFmtId="167" fontId="18" fillId="0" borderId="0" xfId="0" applyNumberFormat="1" applyFont="1" applyAlignment="1">
      <alignment horizontal="center"/>
    </xf>
    <xf numFmtId="167" fontId="18" fillId="2" borderId="0" xfId="0" applyNumberFormat="1" applyFont="1" applyFill="1" applyAlignment="1">
      <alignment horizontal="center"/>
    </xf>
    <xf numFmtId="167" fontId="18" fillId="0" borderId="1" xfId="0" applyNumberFormat="1" applyFont="1" applyBorder="1" applyAlignment="1">
      <alignment horizontal="center"/>
    </xf>
    <xf numFmtId="167" fontId="19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left"/>
    </xf>
    <xf numFmtId="167" fontId="20" fillId="0" borderId="0" xfId="0" applyNumberFormat="1" applyFont="1" applyAlignment="1">
      <alignment horizontal="center"/>
    </xf>
    <xf numFmtId="167" fontId="14" fillId="0" borderId="0" xfId="0" applyNumberFormat="1" applyFont="1" applyAlignment="1" applyProtection="1">
      <alignment horizontal="left"/>
      <protection locked="0"/>
    </xf>
    <xf numFmtId="167" fontId="13" fillId="0" borderId="0" xfId="0" applyNumberFormat="1" applyFont="1" applyAlignment="1">
      <alignment vertical="center"/>
    </xf>
    <xf numFmtId="167" fontId="20" fillId="0" borderId="1" xfId="0" applyNumberFormat="1" applyFont="1" applyBorder="1" applyAlignment="1">
      <alignment horizontal="center" vertical="center"/>
    </xf>
    <xf numFmtId="167" fontId="2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9" xfId="0" applyFont="1" applyBorder="1" applyProtection="1">
      <protection locked="0"/>
    </xf>
    <xf numFmtId="0" fontId="2" fillId="0" borderId="5" xfId="0" applyFont="1" applyBorder="1" applyAlignment="1" applyProtection="1">
      <alignment horizontal="center"/>
      <protection locked="0"/>
    </xf>
    <xf numFmtId="6" fontId="2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Normal_Stocklis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Drop" dropLines="15" dropStyle="combo" dx="16" fmlaLink="O4" fmlaRange="O10:O34" sel="1" val="0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Drop" dropLines="15" dropStyle="combo" dx="16" fmlaLink="O5" fmlaRange="P10:P36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1</xdr:row>
          <xdr:rowOff>144780</xdr:rowOff>
        </xdr:from>
        <xdr:to>
          <xdr:col>14</xdr:col>
          <xdr:colOff>632460</xdr:colOff>
          <xdr:row>1</xdr:row>
          <xdr:rowOff>373380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Show All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30480</xdr:rowOff>
        </xdr:from>
        <xdr:to>
          <xdr:col>14</xdr:col>
          <xdr:colOff>662940</xdr:colOff>
          <xdr:row>5</xdr:row>
          <xdr:rowOff>97155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2</xdr:row>
          <xdr:rowOff>60960</xdr:rowOff>
        </xdr:from>
        <xdr:to>
          <xdr:col>14</xdr:col>
          <xdr:colOff>632460</xdr:colOff>
          <xdr:row>3</xdr:row>
          <xdr:rowOff>121920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AU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Show Order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30480</xdr:rowOff>
        </xdr:from>
        <xdr:to>
          <xdr:col>14</xdr:col>
          <xdr:colOff>662940</xdr:colOff>
          <xdr:row>7</xdr:row>
          <xdr:rowOff>247650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4</xdr:col>
      <xdr:colOff>819150</xdr:colOff>
      <xdr:row>8</xdr:row>
      <xdr:rowOff>57149</xdr:rowOff>
    </xdr:from>
    <xdr:to>
      <xdr:col>7</xdr:col>
      <xdr:colOff>58790</xdr:colOff>
      <xdr:row>12</xdr:row>
      <xdr:rowOff>110664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1571624"/>
          <a:ext cx="1657085" cy="739315"/>
        </a:xfrm>
        <a:prstGeom prst="rect">
          <a:avLst/>
        </a:prstGeom>
      </xdr:spPr>
    </xdr:pic>
    <xdr:clientData/>
  </xdr:twoCellAnchor>
  <xdr:twoCellAnchor editAs="oneCell">
    <xdr:from>
      <xdr:col>1</xdr:col>
      <xdr:colOff>1438275</xdr:colOff>
      <xdr:row>8</xdr:row>
      <xdr:rowOff>28576</xdr:rowOff>
    </xdr:from>
    <xdr:to>
      <xdr:col>2</xdr:col>
      <xdr:colOff>207785</xdr:colOff>
      <xdr:row>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543051"/>
          <a:ext cx="1493660" cy="828674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704851</xdr:colOff>
      <xdr:row>8</xdr:row>
      <xdr:rowOff>81903</xdr:rowOff>
    </xdr:from>
    <xdr:to>
      <xdr:col>2</xdr:col>
      <xdr:colOff>1653540</xdr:colOff>
      <xdr:row>12</xdr:row>
      <xdr:rowOff>97274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1" y="1596378"/>
          <a:ext cx="942974" cy="693551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8</xdr:row>
      <xdr:rowOff>114300</xdr:rowOff>
    </xdr:from>
    <xdr:to>
      <xdr:col>4</xdr:col>
      <xdr:colOff>248472</xdr:colOff>
      <xdr:row>12</xdr:row>
      <xdr:rowOff>57154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628775"/>
          <a:ext cx="898077" cy="628654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8</xdr:row>
      <xdr:rowOff>66675</xdr:rowOff>
    </xdr:from>
    <xdr:to>
      <xdr:col>1</xdr:col>
      <xdr:colOff>967740</xdr:colOff>
      <xdr:row>12</xdr:row>
      <xdr:rowOff>129540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906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1</xdr:row>
      <xdr:rowOff>28575</xdr:rowOff>
    </xdr:from>
    <xdr:to>
      <xdr:col>8</xdr:col>
      <xdr:colOff>704850</xdr:colOff>
      <xdr:row>4</xdr:row>
      <xdr:rowOff>134591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95250"/>
          <a:ext cx="2962275" cy="852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6"/>
  <sheetViews>
    <sheetView tabSelected="1" workbookViewId="0">
      <pane ySplit="14" topLeftCell="A61" activePane="bottomLeft" state="frozen"/>
      <selection pane="bottomLeft" activeCell="J38" sqref="J38"/>
    </sheetView>
  </sheetViews>
  <sheetFormatPr defaultRowHeight="13.2" x14ac:dyDescent="0.25"/>
  <cols>
    <col min="1" max="1" width="1.6640625" style="28" customWidth="1"/>
    <col min="2" max="2" width="40.77734375" style="42" customWidth="1"/>
    <col min="3" max="3" width="25.77734375" style="120" customWidth="1"/>
    <col min="4" max="4" width="16" style="1" customWidth="1"/>
    <col min="5" max="5" width="16.88671875" style="2" bestFit="1" customWidth="1"/>
    <col min="6" max="6" width="5.88671875" style="2" customWidth="1"/>
    <col min="7" max="7" width="13.6640625" style="2" bestFit="1" customWidth="1"/>
    <col min="8" max="8" width="13.44140625" style="3" bestFit="1" customWidth="1"/>
    <col min="9" max="9" width="14.6640625" style="48" bestFit="1" customWidth="1"/>
    <col min="10" max="10" width="16.88671875" style="61" customWidth="1"/>
    <col min="11" max="11" width="15" style="137" customWidth="1"/>
    <col min="12" max="12" width="1.6640625" style="90" customWidth="1"/>
    <col min="13" max="13" width="1.44140625" style="99" customWidth="1"/>
    <col min="14" max="14" width="9.6640625" style="89" customWidth="1"/>
    <col min="15" max="15" width="11.5546875" style="100" customWidth="1"/>
    <col min="16" max="16" width="19.44140625" style="89" customWidth="1"/>
    <col min="17" max="18" width="9.109375"/>
  </cols>
  <sheetData>
    <row r="1" spans="1:16" ht="5.25" customHeight="1" x14ac:dyDescent="0.25">
      <c r="A1" s="43"/>
      <c r="B1" s="29"/>
      <c r="C1" s="115"/>
      <c r="D1" s="9"/>
      <c r="E1" s="9"/>
      <c r="F1" s="9"/>
      <c r="G1" s="9"/>
      <c r="H1" s="10"/>
      <c r="I1" s="46"/>
      <c r="J1" s="60"/>
      <c r="K1" s="136"/>
      <c r="L1" s="86"/>
      <c r="M1" s="87"/>
      <c r="N1" s="87"/>
      <c r="O1" s="88"/>
    </row>
    <row r="2" spans="1:16" ht="30" x14ac:dyDescent="0.5">
      <c r="A2" s="27"/>
      <c r="B2" s="30" t="s">
        <v>0</v>
      </c>
      <c r="C2" s="116"/>
      <c r="D2" s="135" t="s">
        <v>543</v>
      </c>
      <c r="E2" s="5"/>
      <c r="F2" s="5"/>
      <c r="G2" s="5"/>
      <c r="H2" s="11"/>
      <c r="M2" s="91"/>
      <c r="N2" s="92" t="s">
        <v>90</v>
      </c>
      <c r="O2" s="93"/>
    </row>
    <row r="3" spans="1:16" x14ac:dyDescent="0.25">
      <c r="A3" s="27"/>
      <c r="B3" s="56"/>
      <c r="C3" s="116"/>
      <c r="D3" s="5"/>
      <c r="E3" s="5"/>
      <c r="F3" s="4"/>
      <c r="G3" s="5"/>
      <c r="H3" s="11"/>
      <c r="I3" s="131"/>
      <c r="J3" s="62"/>
      <c r="M3" s="91"/>
      <c r="N3" s="91"/>
      <c r="O3" s="94"/>
    </row>
    <row r="4" spans="1:16" ht="17.25" customHeight="1" x14ac:dyDescent="0.6">
      <c r="A4" s="27"/>
      <c r="B4" s="31" t="s">
        <v>97</v>
      </c>
      <c r="C4" s="117"/>
      <c r="D4" s="5"/>
      <c r="E4" s="5"/>
      <c r="F4" s="4"/>
      <c r="G4" s="5"/>
      <c r="H4" s="11"/>
      <c r="M4" s="91"/>
      <c r="N4" s="91">
        <v>1</v>
      </c>
      <c r="O4" s="95">
        <v>1</v>
      </c>
      <c r="P4" s="96"/>
    </row>
    <row r="5" spans="1:16" x14ac:dyDescent="0.25">
      <c r="A5" s="27"/>
      <c r="B5" s="114" t="s">
        <v>98</v>
      </c>
      <c r="C5" s="116"/>
      <c r="D5" s="5"/>
      <c r="E5" s="5"/>
      <c r="F5" s="4"/>
      <c r="G5" s="5"/>
      <c r="H5" s="11"/>
      <c r="L5" s="134" t="s">
        <v>541</v>
      </c>
      <c r="M5" s="91"/>
      <c r="N5" s="91">
        <v>1</v>
      </c>
      <c r="O5" s="95">
        <v>1</v>
      </c>
      <c r="P5" s="96" t="s">
        <v>84</v>
      </c>
    </row>
    <row r="6" spans="1:16" ht="13.8" x14ac:dyDescent="0.25">
      <c r="A6" s="27"/>
      <c r="B6" s="21" t="s">
        <v>99</v>
      </c>
      <c r="C6" s="116"/>
      <c r="D6" s="5"/>
      <c r="E6" s="5"/>
      <c r="F6" s="71" t="s">
        <v>1</v>
      </c>
      <c r="H6" s="11"/>
      <c r="L6" s="134" t="s">
        <v>542</v>
      </c>
      <c r="M6" s="91"/>
      <c r="N6" s="91"/>
      <c r="O6" s="94"/>
      <c r="P6" s="89" t="s">
        <v>84</v>
      </c>
    </row>
    <row r="7" spans="1:16" ht="2.25" customHeight="1" x14ac:dyDescent="0.25">
      <c r="A7" s="43"/>
      <c r="B7" s="32"/>
      <c r="C7" s="118"/>
      <c r="D7" s="6"/>
      <c r="E7" s="7"/>
      <c r="F7" s="7"/>
      <c r="G7" s="7"/>
      <c r="H7" s="8"/>
      <c r="I7" s="46"/>
      <c r="J7" s="60"/>
      <c r="K7" s="138"/>
      <c r="L7" s="97"/>
      <c r="M7" s="91"/>
      <c r="N7" s="91"/>
      <c r="O7" s="94"/>
    </row>
    <row r="8" spans="1:16" ht="24.9" customHeight="1" x14ac:dyDescent="0.25">
      <c r="B8" s="33" t="s">
        <v>93</v>
      </c>
      <c r="C8" s="119"/>
      <c r="D8" s="17"/>
      <c r="E8" s="18"/>
      <c r="F8" s="18"/>
      <c r="G8" s="18"/>
      <c r="H8" s="19"/>
      <c r="I8" s="47"/>
      <c r="J8" s="63"/>
      <c r="K8" s="139"/>
      <c r="L8" s="98"/>
      <c r="M8" s="91"/>
      <c r="N8" s="91"/>
      <c r="O8" s="94"/>
    </row>
    <row r="9" spans="1:16" x14ac:dyDescent="0.25">
      <c r="B9" s="52"/>
      <c r="I9" s="2"/>
      <c r="J9" s="1"/>
    </row>
    <row r="10" spans="1:16" ht="15" customHeight="1" x14ac:dyDescent="0.3">
      <c r="B10" s="52"/>
      <c r="J10" s="58" t="s">
        <v>50</v>
      </c>
      <c r="K10" s="140" t="s">
        <v>14</v>
      </c>
      <c r="O10" s="100" t="s">
        <v>82</v>
      </c>
      <c r="P10" s="89" t="s">
        <v>83</v>
      </c>
    </row>
    <row r="11" spans="1:16" ht="13.5" customHeight="1" x14ac:dyDescent="0.3">
      <c r="B11" s="52"/>
      <c r="J11" s="59">
        <f>COUNTIF(K30:K287,"&gt;0")</f>
        <v>0</v>
      </c>
      <c r="K11" s="141">
        <f>SUM(K31:K288)</f>
        <v>0</v>
      </c>
      <c r="O11" s="101" t="s">
        <v>67</v>
      </c>
      <c r="P11" s="102" t="s">
        <v>47</v>
      </c>
    </row>
    <row r="12" spans="1:16" ht="12.75" customHeight="1" x14ac:dyDescent="0.3">
      <c r="B12" s="52"/>
      <c r="H12" s="53"/>
      <c r="I12" s="2"/>
      <c r="J12" s="1"/>
      <c r="K12" s="142"/>
      <c r="O12" s="101" t="s">
        <v>32</v>
      </c>
      <c r="P12" s="102" t="s">
        <v>51</v>
      </c>
    </row>
    <row r="13" spans="1:16" ht="14.25" customHeight="1" x14ac:dyDescent="0.3">
      <c r="B13" s="52"/>
      <c r="H13" s="54" t="s">
        <v>15</v>
      </c>
      <c r="I13" s="55" t="s">
        <v>16</v>
      </c>
      <c r="J13" s="55" t="s">
        <v>87</v>
      </c>
      <c r="K13" s="143" t="s">
        <v>17</v>
      </c>
      <c r="O13" s="101" t="s">
        <v>31</v>
      </c>
      <c r="P13" s="102" t="s">
        <v>48</v>
      </c>
    </row>
    <row r="14" spans="1:16" ht="2.25" customHeight="1" x14ac:dyDescent="0.3">
      <c r="A14" s="43"/>
      <c r="B14" s="6"/>
      <c r="C14" s="118"/>
      <c r="D14" s="6"/>
      <c r="E14" s="7"/>
      <c r="F14" s="7"/>
      <c r="G14" s="7"/>
      <c r="H14" s="8"/>
      <c r="I14" s="46"/>
      <c r="J14" s="60"/>
      <c r="K14" s="138"/>
      <c r="L14" s="97"/>
      <c r="M14" s="89"/>
      <c r="O14" s="101" t="s">
        <v>68</v>
      </c>
      <c r="P14" s="102" t="s">
        <v>52</v>
      </c>
    </row>
    <row r="15" spans="1:16" ht="20.100000000000001" customHeight="1" x14ac:dyDescent="0.3">
      <c r="A15" s="43"/>
      <c r="B15" s="64" t="s">
        <v>13</v>
      </c>
      <c r="D15" s="70"/>
      <c r="E15" s="5" t="s">
        <v>49</v>
      </c>
      <c r="I15" s="2"/>
      <c r="J15" s="1"/>
      <c r="L15" s="97"/>
      <c r="M15" s="89"/>
      <c r="O15" s="103" t="s">
        <v>69</v>
      </c>
      <c r="P15" s="104" t="s">
        <v>53</v>
      </c>
    </row>
    <row r="16" spans="1:16" ht="16.5" customHeight="1" x14ac:dyDescent="0.3">
      <c r="B16" s="34" t="s">
        <v>2</v>
      </c>
      <c r="C16" s="121"/>
      <c r="E16" s="22" t="s">
        <v>85</v>
      </c>
      <c r="I16" s="2"/>
      <c r="J16" s="1"/>
      <c r="L16" s="97"/>
      <c r="O16" s="105" t="s">
        <v>70</v>
      </c>
      <c r="P16" s="104" t="s">
        <v>73</v>
      </c>
    </row>
    <row r="17" spans="1:16" ht="18" customHeight="1" x14ac:dyDescent="0.3">
      <c r="B17" s="34" t="s">
        <v>3</v>
      </c>
      <c r="C17" s="121"/>
      <c r="E17" s="23" t="s">
        <v>6</v>
      </c>
      <c r="I17" s="2"/>
      <c r="J17" s="1"/>
      <c r="L17" s="97"/>
      <c r="O17" s="103" t="s">
        <v>41</v>
      </c>
      <c r="P17" s="104" t="s">
        <v>54</v>
      </c>
    </row>
    <row r="18" spans="1:16" ht="17.25" customHeight="1" x14ac:dyDescent="0.3">
      <c r="B18" s="34" t="s">
        <v>18</v>
      </c>
      <c r="C18" s="122"/>
      <c r="D18" s="69"/>
      <c r="E18" s="21"/>
      <c r="I18" s="2"/>
      <c r="J18" s="1"/>
      <c r="L18" s="97"/>
      <c r="O18" s="103" t="s">
        <v>34</v>
      </c>
      <c r="P18" s="104" t="s">
        <v>74</v>
      </c>
    </row>
    <row r="19" spans="1:16" ht="18" customHeight="1" x14ac:dyDescent="0.3">
      <c r="B19" s="34" t="s">
        <v>96</v>
      </c>
      <c r="C19" s="123"/>
      <c r="D19" s="152"/>
      <c r="E19" s="21" t="s">
        <v>86</v>
      </c>
      <c r="I19" s="2"/>
      <c r="J19" s="1"/>
      <c r="L19" s="97"/>
      <c r="O19" s="103" t="s">
        <v>30</v>
      </c>
      <c r="P19" s="104" t="s">
        <v>55</v>
      </c>
    </row>
    <row r="20" spans="1:16" ht="16.5" customHeight="1" x14ac:dyDescent="0.3">
      <c r="B20" s="34" t="s">
        <v>4</v>
      </c>
      <c r="C20" s="124"/>
      <c r="E20" s="22" t="s">
        <v>89</v>
      </c>
      <c r="I20" s="2"/>
      <c r="J20" s="1"/>
      <c r="L20" s="97"/>
      <c r="O20" s="103" t="s">
        <v>35</v>
      </c>
      <c r="P20" s="104" t="s">
        <v>75</v>
      </c>
    </row>
    <row r="21" spans="1:16" ht="16.5" customHeight="1" x14ac:dyDescent="0.3">
      <c r="B21" s="35" t="s">
        <v>5</v>
      </c>
      <c r="C21" s="125"/>
      <c r="D21" s="20"/>
      <c r="E21" s="24" t="s">
        <v>88</v>
      </c>
      <c r="F21" s="57"/>
      <c r="G21" s="57"/>
      <c r="H21" s="133" t="s">
        <v>544</v>
      </c>
      <c r="I21" s="57"/>
      <c r="J21" s="20"/>
      <c r="K21" s="139"/>
      <c r="L21" s="106"/>
      <c r="O21" s="103" t="s">
        <v>71</v>
      </c>
      <c r="P21" s="104" t="s">
        <v>46</v>
      </c>
    </row>
    <row r="22" spans="1:16" ht="20.100000000000001" customHeight="1" x14ac:dyDescent="0.3">
      <c r="B22" s="36" t="s">
        <v>7</v>
      </c>
      <c r="C22" s="126" t="s">
        <v>8</v>
      </c>
      <c r="E22" s="4" t="s">
        <v>9</v>
      </c>
      <c r="F22" s="25" t="s">
        <v>8</v>
      </c>
      <c r="H22" s="2" t="s">
        <v>12</v>
      </c>
      <c r="I22" s="25"/>
      <c r="J22" s="1"/>
      <c r="K22" s="144" t="s">
        <v>91</v>
      </c>
      <c r="L22" s="97"/>
      <c r="O22" s="103" t="s">
        <v>29</v>
      </c>
      <c r="P22" s="104" t="s">
        <v>76</v>
      </c>
    </row>
    <row r="23" spans="1:16" ht="20.100000000000001" customHeight="1" x14ac:dyDescent="0.3">
      <c r="B23" s="37" t="s">
        <v>11</v>
      </c>
      <c r="C23" s="125" t="s">
        <v>8</v>
      </c>
      <c r="D23" s="12"/>
      <c r="E23" s="14" t="s">
        <v>10</v>
      </c>
      <c r="F23" s="26" t="s">
        <v>8</v>
      </c>
      <c r="G23" s="50"/>
      <c r="H23" s="14"/>
      <c r="I23" s="132"/>
      <c r="J23" s="51"/>
      <c r="K23" s="145" t="s">
        <v>92</v>
      </c>
      <c r="L23" s="107"/>
      <c r="O23" s="103" t="s">
        <v>28</v>
      </c>
      <c r="P23" s="104" t="s">
        <v>77</v>
      </c>
    </row>
    <row r="24" spans="1:16" ht="3" customHeight="1" x14ac:dyDescent="0.3">
      <c r="A24" s="43"/>
      <c r="B24" s="38"/>
      <c r="C24" s="127"/>
      <c r="D24" s="15"/>
      <c r="E24" s="16"/>
      <c r="F24" s="16"/>
      <c r="G24" s="7"/>
      <c r="H24" s="8"/>
      <c r="I24" s="46"/>
      <c r="J24" s="60"/>
      <c r="K24" s="138"/>
      <c r="L24" s="97"/>
      <c r="O24" s="103" t="s">
        <v>27</v>
      </c>
      <c r="P24" s="104" t="s">
        <v>78</v>
      </c>
    </row>
    <row r="25" spans="1:16" ht="15.75" customHeight="1" x14ac:dyDescent="0.3">
      <c r="A25" s="43"/>
      <c r="B25" s="39" t="s">
        <v>94</v>
      </c>
      <c r="C25" s="73"/>
      <c r="D25" s="74"/>
      <c r="E25" s="13"/>
      <c r="F25" s="13"/>
      <c r="L25" s="97"/>
      <c r="O25" s="103" t="s">
        <v>33</v>
      </c>
      <c r="P25" s="104" t="s">
        <v>45</v>
      </c>
    </row>
    <row r="26" spans="1:16" ht="15" customHeight="1" x14ac:dyDescent="0.3">
      <c r="B26" s="40"/>
      <c r="C26" s="74"/>
      <c r="D26" s="74"/>
      <c r="E26" s="14"/>
      <c r="F26" s="45"/>
      <c r="L26" s="97"/>
      <c r="O26" s="103" t="s">
        <v>72</v>
      </c>
      <c r="P26" s="104" t="s">
        <v>79</v>
      </c>
    </row>
    <row r="27" spans="1:16" ht="15" customHeight="1" x14ac:dyDescent="0.3">
      <c r="B27" s="40"/>
      <c r="C27" s="74"/>
      <c r="D27" s="74"/>
      <c r="E27" s="72" t="s">
        <v>95</v>
      </c>
      <c r="F27" s="13"/>
      <c r="L27" s="97"/>
      <c r="O27" s="103" t="s">
        <v>36</v>
      </c>
      <c r="P27" s="104" t="s">
        <v>56</v>
      </c>
    </row>
    <row r="28" spans="1:16" ht="3" customHeight="1" x14ac:dyDescent="0.3">
      <c r="A28" s="44"/>
      <c r="B28" s="41"/>
      <c r="C28" s="118"/>
      <c r="D28" s="6"/>
      <c r="E28" s="7"/>
      <c r="F28" s="7"/>
      <c r="G28" s="7"/>
      <c r="H28" s="8"/>
      <c r="I28" s="46"/>
      <c r="J28" s="60"/>
      <c r="K28" s="138"/>
      <c r="L28" s="97"/>
      <c r="O28" s="101" t="s">
        <v>37</v>
      </c>
      <c r="P28" s="102" t="s">
        <v>43</v>
      </c>
    </row>
    <row r="29" spans="1:16" ht="14.25" customHeight="1" x14ac:dyDescent="0.3">
      <c r="A29" s="49"/>
      <c r="B29" s="65" t="s">
        <v>19</v>
      </c>
      <c r="C29" s="128" t="s">
        <v>20</v>
      </c>
      <c r="D29" s="66" t="s">
        <v>21</v>
      </c>
      <c r="E29" s="57" t="s">
        <v>22</v>
      </c>
      <c r="F29" s="57" t="s">
        <v>23</v>
      </c>
      <c r="G29" s="57" t="s">
        <v>24</v>
      </c>
      <c r="H29" s="68" t="s">
        <v>25</v>
      </c>
      <c r="I29" s="67" t="s">
        <v>26</v>
      </c>
      <c r="J29" s="67" t="s">
        <v>87</v>
      </c>
      <c r="K29" s="146" t="s">
        <v>17</v>
      </c>
      <c r="L29" s="108"/>
      <c r="O29" s="101" t="s">
        <v>38</v>
      </c>
      <c r="P29" s="102" t="s">
        <v>80</v>
      </c>
    </row>
    <row r="30" spans="1:16" ht="14.25" customHeight="1" x14ac:dyDescent="0.3">
      <c r="B30" s="75"/>
      <c r="C30" s="129"/>
      <c r="D30" s="76"/>
      <c r="E30" s="77"/>
      <c r="F30" s="77"/>
      <c r="G30" s="77"/>
      <c r="H30" s="78"/>
      <c r="I30" s="148"/>
      <c r="J30" s="150"/>
      <c r="K30" s="147" t="str">
        <f>IF(ISNUMBER(I30),I30 * L30,"")</f>
        <v/>
      </c>
      <c r="L30" s="109"/>
      <c r="M30" s="110"/>
      <c r="N30" s="110"/>
      <c r="O30" s="110"/>
      <c r="P30" s="102" t="s">
        <v>81</v>
      </c>
    </row>
    <row r="31" spans="1:16" ht="14.25" customHeight="1" x14ac:dyDescent="0.3">
      <c r="B31" s="79" t="s">
        <v>100</v>
      </c>
      <c r="C31" s="130"/>
      <c r="D31" s="80"/>
      <c r="E31" s="81"/>
      <c r="F31" s="81"/>
      <c r="G31" s="81"/>
      <c r="H31" s="82"/>
      <c r="I31" s="149"/>
      <c r="J31" s="151"/>
      <c r="K31" s="147" t="str">
        <f t="shared" ref="K31:K36" si="0">IF(ISNUMBER(I31),I31 * L31,"")</f>
        <v/>
      </c>
      <c r="L31" s="111"/>
      <c r="M31" s="89"/>
      <c r="O31" s="89"/>
      <c r="P31" s="102" t="s">
        <v>57</v>
      </c>
    </row>
    <row r="32" spans="1:16" ht="14.25" customHeight="1" x14ac:dyDescent="0.3">
      <c r="B32" s="83" t="s">
        <v>28</v>
      </c>
      <c r="C32" s="130"/>
      <c r="D32" s="80"/>
      <c r="E32" s="81"/>
      <c r="F32" s="81"/>
      <c r="G32" s="81"/>
      <c r="H32" s="82"/>
      <c r="I32" s="149"/>
      <c r="J32" s="151"/>
      <c r="K32" s="147" t="str">
        <f t="shared" si="0"/>
        <v/>
      </c>
      <c r="L32" s="111"/>
      <c r="M32" s="89"/>
      <c r="O32" s="89"/>
      <c r="P32" s="102" t="s">
        <v>58</v>
      </c>
    </row>
    <row r="33" spans="2:16" ht="14.25" customHeight="1" x14ac:dyDescent="0.3">
      <c r="B33" s="84" t="s">
        <v>101</v>
      </c>
      <c r="C33" s="129" t="s">
        <v>102</v>
      </c>
      <c r="D33" s="76" t="s">
        <v>103</v>
      </c>
      <c r="E33" s="77" t="s">
        <v>104</v>
      </c>
      <c r="F33" s="77" t="s">
        <v>105</v>
      </c>
      <c r="G33" s="77" t="s">
        <v>106</v>
      </c>
      <c r="H33" s="78">
        <v>5</v>
      </c>
      <c r="I33" s="149"/>
      <c r="J33" s="151"/>
      <c r="K33" s="147" t="str">
        <f t="shared" si="0"/>
        <v/>
      </c>
      <c r="L33" s="112" t="s">
        <v>107</v>
      </c>
      <c r="M33" s="113" t="s">
        <v>107</v>
      </c>
      <c r="N33" s="113">
        <v>58607</v>
      </c>
      <c r="O33" s="113" t="s">
        <v>28</v>
      </c>
      <c r="P33" s="102" t="s">
        <v>59</v>
      </c>
    </row>
    <row r="34" spans="2:16" ht="14.25" customHeight="1" x14ac:dyDescent="0.3">
      <c r="B34" s="84" t="s">
        <v>545</v>
      </c>
      <c r="C34" s="129" t="s">
        <v>546</v>
      </c>
      <c r="D34" s="76" t="s">
        <v>108</v>
      </c>
      <c r="E34" s="77" t="s">
        <v>109</v>
      </c>
      <c r="F34" s="77" t="s">
        <v>105</v>
      </c>
      <c r="G34" s="153">
        <v>85</v>
      </c>
      <c r="H34" s="78">
        <v>8</v>
      </c>
      <c r="I34" s="149"/>
      <c r="J34" s="151"/>
      <c r="K34" s="147" t="str">
        <f t="shared" si="0"/>
        <v/>
      </c>
      <c r="L34" s="112" t="s">
        <v>110</v>
      </c>
      <c r="M34" s="113" t="s">
        <v>111</v>
      </c>
      <c r="N34" s="113">
        <v>54999</v>
      </c>
      <c r="O34" s="113" t="s">
        <v>28</v>
      </c>
      <c r="P34" s="102" t="s">
        <v>60</v>
      </c>
    </row>
    <row r="35" spans="2:16" ht="14.25" customHeight="1" x14ac:dyDescent="0.3">
      <c r="B35" s="84"/>
      <c r="C35" s="129"/>
      <c r="D35" s="76"/>
      <c r="E35" s="77"/>
      <c r="F35" s="77"/>
      <c r="G35" s="77"/>
      <c r="H35" s="78"/>
      <c r="I35" s="149"/>
      <c r="J35" s="151"/>
      <c r="K35" s="147" t="str">
        <f t="shared" si="0"/>
        <v/>
      </c>
      <c r="L35" s="112"/>
      <c r="M35" s="113"/>
      <c r="N35" s="113"/>
      <c r="O35" s="113"/>
      <c r="P35" s="102" t="s">
        <v>61</v>
      </c>
    </row>
    <row r="36" spans="2:16" ht="14.25" customHeight="1" x14ac:dyDescent="0.3">
      <c r="B36" s="79" t="s">
        <v>114</v>
      </c>
      <c r="C36" s="130"/>
      <c r="D36" s="80"/>
      <c r="E36" s="81"/>
      <c r="F36" s="81"/>
      <c r="G36" s="81"/>
      <c r="H36" s="82"/>
      <c r="I36" s="149"/>
      <c r="J36" s="151"/>
      <c r="K36" s="147" t="str">
        <f t="shared" si="0"/>
        <v/>
      </c>
      <c r="L36" s="111"/>
      <c r="M36" s="89"/>
      <c r="O36" s="89"/>
      <c r="P36" s="102" t="s">
        <v>62</v>
      </c>
    </row>
    <row r="37" spans="2:16" x14ac:dyDescent="0.25">
      <c r="B37" s="83" t="s">
        <v>30</v>
      </c>
      <c r="C37" s="130"/>
      <c r="D37" s="80"/>
      <c r="E37" s="81"/>
      <c r="F37" s="81"/>
      <c r="G37" s="81"/>
      <c r="H37" s="82"/>
      <c r="I37" s="149"/>
      <c r="J37" s="151"/>
      <c r="K37" s="147" t="str">
        <f t="shared" ref="K37:K68" si="1">IF(ISNUMBER(I37),I37 * L37,"")</f>
        <v/>
      </c>
      <c r="L37" s="111"/>
      <c r="M37" s="89"/>
      <c r="O37" s="89"/>
    </row>
    <row r="38" spans="2:16" x14ac:dyDescent="0.25">
      <c r="B38" s="84" t="s">
        <v>176</v>
      </c>
      <c r="C38" s="129" t="s">
        <v>177</v>
      </c>
      <c r="D38" s="76" t="s">
        <v>178</v>
      </c>
      <c r="E38" s="77" t="s">
        <v>139</v>
      </c>
      <c r="F38" s="77" t="s">
        <v>105</v>
      </c>
      <c r="G38" s="77" t="s">
        <v>179</v>
      </c>
      <c r="H38" s="78">
        <v>50</v>
      </c>
      <c r="I38" s="149"/>
      <c r="J38" s="151"/>
      <c r="K38" s="147" t="str">
        <f t="shared" si="1"/>
        <v/>
      </c>
      <c r="L38" s="112" t="s">
        <v>180</v>
      </c>
      <c r="M38" s="113" t="s">
        <v>180</v>
      </c>
      <c r="N38" s="113">
        <v>61194</v>
      </c>
      <c r="O38" s="113" t="s">
        <v>30</v>
      </c>
    </row>
    <row r="39" spans="2:16" x14ac:dyDescent="0.25">
      <c r="B39" s="84" t="s">
        <v>176</v>
      </c>
      <c r="C39" s="129" t="s">
        <v>177</v>
      </c>
      <c r="D39" s="76" t="s">
        <v>117</v>
      </c>
      <c r="E39" s="77" t="s">
        <v>139</v>
      </c>
      <c r="F39" s="77" t="s">
        <v>105</v>
      </c>
      <c r="G39" s="77" t="s">
        <v>140</v>
      </c>
      <c r="H39" s="78">
        <v>25</v>
      </c>
      <c r="I39" s="149"/>
      <c r="J39" s="151"/>
      <c r="K39" s="147" t="str">
        <f t="shared" si="1"/>
        <v/>
      </c>
      <c r="L39" s="112" t="s">
        <v>141</v>
      </c>
      <c r="M39" s="113" t="s">
        <v>141</v>
      </c>
      <c r="N39" s="113">
        <v>55448</v>
      </c>
      <c r="O39" s="113" t="s">
        <v>30</v>
      </c>
    </row>
    <row r="40" spans="2:16" x14ac:dyDescent="0.25">
      <c r="B40" s="84" t="s">
        <v>176</v>
      </c>
      <c r="C40" s="129" t="s">
        <v>177</v>
      </c>
      <c r="D40" s="76" t="s">
        <v>126</v>
      </c>
      <c r="E40" s="77" t="s">
        <v>139</v>
      </c>
      <c r="F40" s="77" t="s">
        <v>105</v>
      </c>
      <c r="G40" s="77" t="s">
        <v>146</v>
      </c>
      <c r="H40" s="78">
        <v>25</v>
      </c>
      <c r="I40" s="149"/>
      <c r="J40" s="151"/>
      <c r="K40" s="147" t="str">
        <f t="shared" si="1"/>
        <v/>
      </c>
      <c r="L40" s="112" t="s">
        <v>147</v>
      </c>
      <c r="M40" s="113" t="s">
        <v>147</v>
      </c>
      <c r="N40" s="113">
        <v>61197</v>
      </c>
      <c r="O40" s="113" t="s">
        <v>30</v>
      </c>
    </row>
    <row r="41" spans="2:16" x14ac:dyDescent="0.25">
      <c r="B41" s="84" t="s">
        <v>176</v>
      </c>
      <c r="C41" s="129" t="s">
        <v>177</v>
      </c>
      <c r="D41" s="76" t="s">
        <v>181</v>
      </c>
      <c r="E41" s="77" t="s">
        <v>139</v>
      </c>
      <c r="F41" s="77" t="s">
        <v>105</v>
      </c>
      <c r="G41" s="77" t="s">
        <v>140</v>
      </c>
      <c r="H41" s="78">
        <v>20</v>
      </c>
      <c r="I41" s="149"/>
      <c r="J41" s="151"/>
      <c r="K41" s="147" t="str">
        <f t="shared" si="1"/>
        <v/>
      </c>
      <c r="L41" s="112" t="s">
        <v>141</v>
      </c>
      <c r="M41" s="113" t="s">
        <v>141</v>
      </c>
      <c r="N41" s="113">
        <v>61198</v>
      </c>
      <c r="O41" s="113" t="s">
        <v>30</v>
      </c>
    </row>
    <row r="42" spans="2:16" x14ac:dyDescent="0.25">
      <c r="B42" s="84" t="s">
        <v>182</v>
      </c>
      <c r="C42" s="129" t="s">
        <v>183</v>
      </c>
      <c r="D42" s="76" t="s">
        <v>126</v>
      </c>
      <c r="E42" s="77" t="s">
        <v>139</v>
      </c>
      <c r="F42" s="77" t="s">
        <v>105</v>
      </c>
      <c r="G42" s="77" t="s">
        <v>137</v>
      </c>
      <c r="H42" s="78">
        <v>4</v>
      </c>
      <c r="I42" s="149"/>
      <c r="J42" s="151"/>
      <c r="K42" s="147" t="str">
        <f t="shared" si="1"/>
        <v/>
      </c>
      <c r="L42" s="112" t="s">
        <v>138</v>
      </c>
      <c r="M42" s="113" t="s">
        <v>138</v>
      </c>
      <c r="N42" s="113">
        <v>61204</v>
      </c>
      <c r="O42" s="113" t="s">
        <v>30</v>
      </c>
    </row>
    <row r="43" spans="2:16" x14ac:dyDescent="0.25">
      <c r="B43" s="84"/>
      <c r="C43" s="129"/>
      <c r="D43" s="76"/>
      <c r="E43" s="77"/>
      <c r="F43" s="77"/>
      <c r="G43" s="77"/>
      <c r="H43" s="78"/>
      <c r="I43" s="149"/>
      <c r="J43" s="151"/>
      <c r="K43" s="147" t="str">
        <f t="shared" si="1"/>
        <v/>
      </c>
      <c r="L43" s="112"/>
      <c r="M43" s="113"/>
      <c r="N43" s="113"/>
      <c r="O43" s="113"/>
    </row>
    <row r="44" spans="2:16" x14ac:dyDescent="0.25">
      <c r="B44" s="79" t="s">
        <v>184</v>
      </c>
      <c r="C44" s="130"/>
      <c r="D44" s="80"/>
      <c r="E44" s="81"/>
      <c r="F44" s="81"/>
      <c r="G44" s="81"/>
      <c r="H44" s="82"/>
      <c r="I44" s="149"/>
      <c r="J44" s="151"/>
      <c r="K44" s="147" t="str">
        <f t="shared" si="1"/>
        <v/>
      </c>
      <c r="L44" s="111"/>
      <c r="M44" s="89"/>
      <c r="O44" s="89"/>
    </row>
    <row r="45" spans="2:16" x14ac:dyDescent="0.25">
      <c r="B45" s="83" t="s">
        <v>35</v>
      </c>
      <c r="C45" s="130"/>
      <c r="D45" s="80"/>
      <c r="E45" s="81"/>
      <c r="F45" s="81"/>
      <c r="G45" s="81"/>
      <c r="H45" s="82"/>
      <c r="I45" s="149"/>
      <c r="J45" s="151"/>
      <c r="K45" s="147" t="str">
        <f t="shared" si="1"/>
        <v/>
      </c>
      <c r="L45" s="111"/>
      <c r="M45" s="89"/>
      <c r="O45" s="89"/>
    </row>
    <row r="46" spans="2:16" x14ac:dyDescent="0.25">
      <c r="B46" s="84" t="s">
        <v>188</v>
      </c>
      <c r="C46" s="129" t="s">
        <v>189</v>
      </c>
      <c r="D46" s="80"/>
      <c r="E46" s="77" t="s">
        <v>190</v>
      </c>
      <c r="F46" s="77" t="s">
        <v>105</v>
      </c>
      <c r="G46" s="77" t="s">
        <v>106</v>
      </c>
      <c r="H46" s="78">
        <v>1</v>
      </c>
      <c r="I46" s="149"/>
      <c r="J46" s="151"/>
      <c r="K46" s="147" t="str">
        <f t="shared" si="1"/>
        <v/>
      </c>
      <c r="L46" s="112" t="s">
        <v>107</v>
      </c>
      <c r="M46" s="113" t="s">
        <v>107</v>
      </c>
      <c r="N46" s="113">
        <v>53341</v>
      </c>
      <c r="O46" s="113" t="s">
        <v>35</v>
      </c>
    </row>
    <row r="47" spans="2:16" x14ac:dyDescent="0.25">
      <c r="B47" s="84" t="s">
        <v>188</v>
      </c>
      <c r="C47" s="129" t="s">
        <v>189</v>
      </c>
      <c r="D47" s="80"/>
      <c r="E47" s="77" t="s">
        <v>191</v>
      </c>
      <c r="F47" s="77" t="s">
        <v>105</v>
      </c>
      <c r="G47" s="77" t="s">
        <v>192</v>
      </c>
      <c r="H47" s="78">
        <v>1</v>
      </c>
      <c r="I47" s="149"/>
      <c r="J47" s="151"/>
      <c r="K47" s="147" t="str">
        <f t="shared" si="1"/>
        <v/>
      </c>
      <c r="L47" s="112" t="s">
        <v>193</v>
      </c>
      <c r="M47" s="113" t="s">
        <v>193</v>
      </c>
      <c r="N47" s="113">
        <v>54539</v>
      </c>
      <c r="O47" s="113" t="s">
        <v>35</v>
      </c>
    </row>
    <row r="48" spans="2:16" x14ac:dyDescent="0.25">
      <c r="B48" s="83" t="s">
        <v>36</v>
      </c>
      <c r="C48" s="130"/>
      <c r="D48" s="80"/>
      <c r="E48" s="81"/>
      <c r="F48" s="81"/>
      <c r="G48" s="81"/>
      <c r="H48" s="82"/>
      <c r="I48" s="149"/>
      <c r="J48" s="151"/>
      <c r="K48" s="147" t="str">
        <f t="shared" si="1"/>
        <v/>
      </c>
      <c r="L48" s="111"/>
      <c r="M48" s="89"/>
      <c r="O48" s="89"/>
    </row>
    <row r="49" spans="2:15" x14ac:dyDescent="0.25">
      <c r="B49" s="84" t="s">
        <v>194</v>
      </c>
      <c r="C49" s="129" t="s">
        <v>195</v>
      </c>
      <c r="D49" s="80"/>
      <c r="E49" s="77" t="s">
        <v>196</v>
      </c>
      <c r="F49" s="77" t="s">
        <v>105</v>
      </c>
      <c r="G49" s="77" t="s">
        <v>166</v>
      </c>
      <c r="H49" s="78">
        <v>220</v>
      </c>
      <c r="I49" s="149"/>
      <c r="J49" s="151"/>
      <c r="K49" s="147" t="str">
        <f t="shared" si="1"/>
        <v/>
      </c>
      <c r="L49" s="112" t="s">
        <v>167</v>
      </c>
      <c r="M49" s="113" t="s">
        <v>167</v>
      </c>
      <c r="N49" s="113">
        <v>53364</v>
      </c>
      <c r="O49" s="113" t="s">
        <v>36</v>
      </c>
    </row>
    <row r="50" spans="2:15" x14ac:dyDescent="0.25">
      <c r="B50" s="84" t="s">
        <v>194</v>
      </c>
      <c r="C50" s="129" t="s">
        <v>195</v>
      </c>
      <c r="D50" s="80"/>
      <c r="E50" s="77" t="s">
        <v>197</v>
      </c>
      <c r="F50" s="77" t="s">
        <v>105</v>
      </c>
      <c r="G50" s="77" t="s">
        <v>166</v>
      </c>
      <c r="H50" s="78">
        <v>69</v>
      </c>
      <c r="I50" s="149"/>
      <c r="J50" s="151"/>
      <c r="K50" s="147" t="str">
        <f t="shared" si="1"/>
        <v/>
      </c>
      <c r="L50" s="112" t="s">
        <v>167</v>
      </c>
      <c r="M50" s="113" t="s">
        <v>167</v>
      </c>
      <c r="N50" s="113">
        <v>54561</v>
      </c>
      <c r="O50" s="113" t="s">
        <v>36</v>
      </c>
    </row>
    <row r="51" spans="2:15" x14ac:dyDescent="0.25">
      <c r="B51" s="83" t="s">
        <v>37</v>
      </c>
      <c r="C51" s="130"/>
      <c r="D51" s="80"/>
      <c r="E51" s="81"/>
      <c r="F51" s="81"/>
      <c r="G51" s="81"/>
      <c r="H51" s="82"/>
      <c r="I51" s="149"/>
      <c r="J51" s="151"/>
      <c r="K51" s="147" t="str">
        <f t="shared" si="1"/>
        <v/>
      </c>
      <c r="L51" s="111"/>
      <c r="M51" s="89"/>
      <c r="O51" s="89"/>
    </row>
    <row r="52" spans="2:15" x14ac:dyDescent="0.25">
      <c r="B52" s="84" t="s">
        <v>198</v>
      </c>
      <c r="C52" s="129" t="s">
        <v>199</v>
      </c>
      <c r="D52" s="80"/>
      <c r="E52" s="77" t="s">
        <v>171</v>
      </c>
      <c r="F52" s="77" t="s">
        <v>105</v>
      </c>
      <c r="G52" s="77" t="s">
        <v>200</v>
      </c>
      <c r="H52" s="78">
        <v>250</v>
      </c>
      <c r="I52" s="149"/>
      <c r="J52" s="151"/>
      <c r="K52" s="147" t="str">
        <f t="shared" si="1"/>
        <v/>
      </c>
      <c r="L52" s="112" t="s">
        <v>201</v>
      </c>
      <c r="M52" s="113" t="s">
        <v>201</v>
      </c>
      <c r="N52" s="113">
        <v>58396</v>
      </c>
      <c r="O52" s="113" t="s">
        <v>37</v>
      </c>
    </row>
    <row r="53" spans="2:15" x14ac:dyDescent="0.25">
      <c r="B53" s="84" t="s">
        <v>202</v>
      </c>
      <c r="C53" s="129" t="s">
        <v>203</v>
      </c>
      <c r="D53" s="76" t="s">
        <v>204</v>
      </c>
      <c r="E53" s="77" t="s">
        <v>187</v>
      </c>
      <c r="F53" s="77" t="s">
        <v>105</v>
      </c>
      <c r="G53" s="77" t="s">
        <v>127</v>
      </c>
      <c r="H53" s="78">
        <v>2</v>
      </c>
      <c r="I53" s="149"/>
      <c r="J53" s="151"/>
      <c r="K53" s="147" t="str">
        <f t="shared" si="1"/>
        <v/>
      </c>
      <c r="L53" s="112" t="s">
        <v>128</v>
      </c>
      <c r="M53" s="113" t="s">
        <v>128</v>
      </c>
      <c r="N53" s="113">
        <v>50355</v>
      </c>
      <c r="O53" s="113" t="s">
        <v>37</v>
      </c>
    </row>
    <row r="54" spans="2:15" x14ac:dyDescent="0.25">
      <c r="B54" s="84" t="s">
        <v>202</v>
      </c>
      <c r="C54" s="129" t="s">
        <v>203</v>
      </c>
      <c r="D54" s="76" t="s">
        <v>204</v>
      </c>
      <c r="E54" s="77" t="s">
        <v>196</v>
      </c>
      <c r="F54" s="77" t="s">
        <v>105</v>
      </c>
      <c r="G54" s="77" t="s">
        <v>127</v>
      </c>
      <c r="H54" s="78">
        <v>5</v>
      </c>
      <c r="I54" s="149"/>
      <c r="J54" s="151"/>
      <c r="K54" s="147" t="str">
        <f t="shared" si="1"/>
        <v/>
      </c>
      <c r="L54" s="112" t="s">
        <v>128</v>
      </c>
      <c r="M54" s="113" t="s">
        <v>128</v>
      </c>
      <c r="N54" s="113">
        <v>53024</v>
      </c>
      <c r="O54" s="113" t="s">
        <v>37</v>
      </c>
    </row>
    <row r="55" spans="2:15" x14ac:dyDescent="0.25">
      <c r="B55" s="84" t="s">
        <v>202</v>
      </c>
      <c r="C55" s="129" t="s">
        <v>203</v>
      </c>
      <c r="D55" s="76" t="s">
        <v>204</v>
      </c>
      <c r="E55" s="77" t="s">
        <v>205</v>
      </c>
      <c r="F55" s="77" t="s">
        <v>105</v>
      </c>
      <c r="G55" s="77" t="s">
        <v>127</v>
      </c>
      <c r="H55" s="78">
        <v>1</v>
      </c>
      <c r="I55" s="149"/>
      <c r="J55" s="151"/>
      <c r="K55" s="147" t="str">
        <f t="shared" si="1"/>
        <v/>
      </c>
      <c r="L55" s="112" t="s">
        <v>128</v>
      </c>
      <c r="M55" s="113" t="s">
        <v>128</v>
      </c>
      <c r="N55" s="113">
        <v>54287</v>
      </c>
      <c r="O55" s="113" t="s">
        <v>37</v>
      </c>
    </row>
    <row r="56" spans="2:15" x14ac:dyDescent="0.25">
      <c r="B56" s="83" t="s">
        <v>39</v>
      </c>
      <c r="C56" s="130"/>
      <c r="D56" s="80"/>
      <c r="E56" s="81"/>
      <c r="F56" s="81"/>
      <c r="G56" s="81"/>
      <c r="H56" s="82"/>
      <c r="I56" s="149"/>
      <c r="J56" s="151"/>
      <c r="K56" s="147" t="str">
        <f t="shared" si="1"/>
        <v/>
      </c>
      <c r="L56" s="111"/>
      <c r="M56" s="89"/>
      <c r="O56" s="89"/>
    </row>
    <row r="57" spans="2:15" x14ac:dyDescent="0.25">
      <c r="B57" s="84" t="s">
        <v>208</v>
      </c>
      <c r="C57" s="129" t="s">
        <v>209</v>
      </c>
      <c r="D57" s="76" t="s">
        <v>204</v>
      </c>
      <c r="E57" s="77" t="s">
        <v>210</v>
      </c>
      <c r="F57" s="77" t="s">
        <v>105</v>
      </c>
      <c r="G57" s="77" t="s">
        <v>133</v>
      </c>
      <c r="H57" s="78">
        <v>5</v>
      </c>
      <c r="I57" s="149"/>
      <c r="J57" s="151"/>
      <c r="K57" s="147" t="str">
        <f t="shared" si="1"/>
        <v/>
      </c>
      <c r="L57" s="112" t="s">
        <v>134</v>
      </c>
      <c r="M57" s="113" t="s">
        <v>134</v>
      </c>
      <c r="N57" s="113">
        <v>51220</v>
      </c>
      <c r="O57" s="113" t="s">
        <v>39</v>
      </c>
    </row>
    <row r="58" spans="2:15" x14ac:dyDescent="0.25">
      <c r="B58" s="84" t="s">
        <v>211</v>
      </c>
      <c r="C58" s="129" t="s">
        <v>212</v>
      </c>
      <c r="D58" s="80"/>
      <c r="E58" s="77" t="s">
        <v>213</v>
      </c>
      <c r="F58" s="77" t="s">
        <v>105</v>
      </c>
      <c r="G58" s="77" t="s">
        <v>120</v>
      </c>
      <c r="H58" s="78">
        <v>9</v>
      </c>
      <c r="I58" s="149"/>
      <c r="J58" s="151"/>
      <c r="K58" s="147" t="str">
        <f t="shared" si="1"/>
        <v/>
      </c>
      <c r="L58" s="112" t="s">
        <v>121</v>
      </c>
      <c r="M58" s="113" t="s">
        <v>121</v>
      </c>
      <c r="N58" s="113">
        <v>54041</v>
      </c>
      <c r="O58" s="113" t="s">
        <v>39</v>
      </c>
    </row>
    <row r="59" spans="2:15" x14ac:dyDescent="0.25">
      <c r="B59" s="84" t="s">
        <v>214</v>
      </c>
      <c r="C59" s="129" t="s">
        <v>215</v>
      </c>
      <c r="D59" s="80"/>
      <c r="E59" s="77" t="s">
        <v>216</v>
      </c>
      <c r="F59" s="77" t="s">
        <v>105</v>
      </c>
      <c r="G59" s="77" t="s">
        <v>129</v>
      </c>
      <c r="H59" s="78">
        <v>3</v>
      </c>
      <c r="I59" s="149"/>
      <c r="J59" s="151"/>
      <c r="K59" s="147" t="str">
        <f t="shared" si="1"/>
        <v/>
      </c>
      <c r="L59" s="112" t="s">
        <v>130</v>
      </c>
      <c r="M59" s="113" t="s">
        <v>130</v>
      </c>
      <c r="N59" s="113">
        <v>51466</v>
      </c>
      <c r="O59" s="113" t="s">
        <v>39</v>
      </c>
    </row>
    <row r="60" spans="2:15" x14ac:dyDescent="0.25">
      <c r="B60" s="84" t="s">
        <v>217</v>
      </c>
      <c r="C60" s="129" t="s">
        <v>218</v>
      </c>
      <c r="D60" s="76" t="s">
        <v>204</v>
      </c>
      <c r="E60" s="77" t="s">
        <v>207</v>
      </c>
      <c r="F60" s="77" t="s">
        <v>105</v>
      </c>
      <c r="G60" s="77" t="s">
        <v>135</v>
      </c>
      <c r="H60" s="78">
        <v>1</v>
      </c>
      <c r="I60" s="149"/>
      <c r="J60" s="151"/>
      <c r="K60" s="147" t="str">
        <f t="shared" si="1"/>
        <v/>
      </c>
      <c r="L60" s="112" t="s">
        <v>136</v>
      </c>
      <c r="M60" s="113" t="s">
        <v>136</v>
      </c>
      <c r="N60" s="113">
        <v>51607</v>
      </c>
      <c r="O60" s="113" t="s">
        <v>39</v>
      </c>
    </row>
    <row r="61" spans="2:15" x14ac:dyDescent="0.25">
      <c r="B61" s="84" t="s">
        <v>217</v>
      </c>
      <c r="C61" s="129" t="s">
        <v>218</v>
      </c>
      <c r="D61" s="76" t="s">
        <v>204</v>
      </c>
      <c r="E61" s="77" t="s">
        <v>219</v>
      </c>
      <c r="F61" s="77" t="s">
        <v>105</v>
      </c>
      <c r="G61" s="77" t="s">
        <v>118</v>
      </c>
      <c r="H61" s="78">
        <v>1</v>
      </c>
      <c r="I61" s="149"/>
      <c r="J61" s="151"/>
      <c r="K61" s="147" t="str">
        <f t="shared" si="1"/>
        <v/>
      </c>
      <c r="L61" s="112" t="s">
        <v>119</v>
      </c>
      <c r="M61" s="113" t="s">
        <v>119</v>
      </c>
      <c r="N61" s="113">
        <v>56687</v>
      </c>
      <c r="O61" s="113" t="s">
        <v>39</v>
      </c>
    </row>
    <row r="62" spans="2:15" x14ac:dyDescent="0.25">
      <c r="B62" s="84" t="s">
        <v>220</v>
      </c>
      <c r="C62" s="129" t="s">
        <v>221</v>
      </c>
      <c r="D62" s="80"/>
      <c r="E62" s="77" t="s">
        <v>222</v>
      </c>
      <c r="F62" s="77" t="s">
        <v>105</v>
      </c>
      <c r="G62" s="77" t="s">
        <v>172</v>
      </c>
      <c r="H62" s="78">
        <v>1</v>
      </c>
      <c r="I62" s="149"/>
      <c r="J62" s="151"/>
      <c r="K62" s="147" t="str">
        <f t="shared" si="1"/>
        <v/>
      </c>
      <c r="L62" s="112" t="s">
        <v>173</v>
      </c>
      <c r="M62" s="113" t="s">
        <v>173</v>
      </c>
      <c r="N62" s="113">
        <v>50313</v>
      </c>
      <c r="O62" s="113" t="s">
        <v>39</v>
      </c>
    </row>
    <row r="63" spans="2:15" x14ac:dyDescent="0.25">
      <c r="B63" s="84" t="s">
        <v>223</v>
      </c>
      <c r="C63" s="129" t="s">
        <v>224</v>
      </c>
      <c r="D63" s="80"/>
      <c r="E63" s="77" t="s">
        <v>225</v>
      </c>
      <c r="F63" s="77" t="s">
        <v>105</v>
      </c>
      <c r="G63" s="77" t="s">
        <v>164</v>
      </c>
      <c r="H63" s="78">
        <v>1</v>
      </c>
      <c r="I63" s="149"/>
      <c r="J63" s="151"/>
      <c r="K63" s="147" t="str">
        <f t="shared" si="1"/>
        <v/>
      </c>
      <c r="L63" s="112" t="s">
        <v>165</v>
      </c>
      <c r="M63" s="113" t="s">
        <v>165</v>
      </c>
      <c r="N63" s="113">
        <v>61136</v>
      </c>
      <c r="O63" s="113" t="s">
        <v>39</v>
      </c>
    </row>
    <row r="64" spans="2:15" x14ac:dyDescent="0.25">
      <c r="B64" s="84" t="s">
        <v>226</v>
      </c>
      <c r="C64" s="129" t="s">
        <v>227</v>
      </c>
      <c r="D64" s="76" t="s">
        <v>204</v>
      </c>
      <c r="E64" s="77" t="s">
        <v>210</v>
      </c>
      <c r="F64" s="77" t="s">
        <v>105</v>
      </c>
      <c r="G64" s="77" t="s">
        <v>133</v>
      </c>
      <c r="H64" s="78">
        <v>1</v>
      </c>
      <c r="I64" s="149"/>
      <c r="J64" s="151"/>
      <c r="K64" s="147" t="str">
        <f t="shared" si="1"/>
        <v/>
      </c>
      <c r="L64" s="112" t="s">
        <v>134</v>
      </c>
      <c r="M64" s="113" t="s">
        <v>134</v>
      </c>
      <c r="N64" s="113">
        <v>56913</v>
      </c>
      <c r="O64" s="113" t="s">
        <v>39</v>
      </c>
    </row>
    <row r="65" spans="2:15" x14ac:dyDescent="0.25">
      <c r="B65" s="84" t="s">
        <v>228</v>
      </c>
      <c r="C65" s="129" t="s">
        <v>221</v>
      </c>
      <c r="D65" s="80"/>
      <c r="E65" s="77" t="s">
        <v>229</v>
      </c>
      <c r="F65" s="77" t="s">
        <v>105</v>
      </c>
      <c r="G65" s="77" t="s">
        <v>148</v>
      </c>
      <c r="H65" s="78">
        <v>1</v>
      </c>
      <c r="I65" s="149"/>
      <c r="J65" s="151"/>
      <c r="K65" s="147" t="str">
        <f t="shared" si="1"/>
        <v/>
      </c>
      <c r="L65" s="112" t="s">
        <v>149</v>
      </c>
      <c r="M65" s="113" t="s">
        <v>149</v>
      </c>
      <c r="N65" s="113">
        <v>51783</v>
      </c>
      <c r="O65" s="113" t="s">
        <v>39</v>
      </c>
    </row>
    <row r="66" spans="2:15" x14ac:dyDescent="0.25">
      <c r="B66" s="84" t="s">
        <v>228</v>
      </c>
      <c r="C66" s="129" t="s">
        <v>221</v>
      </c>
      <c r="D66" s="80"/>
      <c r="E66" s="77" t="s">
        <v>230</v>
      </c>
      <c r="F66" s="77" t="s">
        <v>105</v>
      </c>
      <c r="G66" s="77" t="s">
        <v>122</v>
      </c>
      <c r="H66" s="78">
        <v>1</v>
      </c>
      <c r="I66" s="149"/>
      <c r="J66" s="151"/>
      <c r="K66" s="147" t="str">
        <f t="shared" si="1"/>
        <v/>
      </c>
      <c r="L66" s="112" t="s">
        <v>123</v>
      </c>
      <c r="M66" s="113" t="s">
        <v>123</v>
      </c>
      <c r="N66" s="113">
        <v>54374</v>
      </c>
      <c r="O66" s="113" t="s">
        <v>39</v>
      </c>
    </row>
    <row r="67" spans="2:15" x14ac:dyDescent="0.25">
      <c r="B67" s="84" t="s">
        <v>231</v>
      </c>
      <c r="C67" s="129" t="s">
        <v>232</v>
      </c>
      <c r="D67" s="80"/>
      <c r="E67" s="77" t="s">
        <v>233</v>
      </c>
      <c r="F67" s="77" t="s">
        <v>105</v>
      </c>
      <c r="G67" s="77" t="s">
        <v>154</v>
      </c>
      <c r="H67" s="78">
        <v>2</v>
      </c>
      <c r="I67" s="149"/>
      <c r="J67" s="151"/>
      <c r="K67" s="147" t="str">
        <f t="shared" si="1"/>
        <v/>
      </c>
      <c r="L67" s="112" t="s">
        <v>155</v>
      </c>
      <c r="M67" s="113" t="s">
        <v>155</v>
      </c>
      <c r="N67" s="113">
        <v>57959</v>
      </c>
      <c r="O67" s="113" t="s">
        <v>39</v>
      </c>
    </row>
    <row r="68" spans="2:15" x14ac:dyDescent="0.25">
      <c r="B68" s="84" t="s">
        <v>234</v>
      </c>
      <c r="C68" s="129" t="s">
        <v>235</v>
      </c>
      <c r="D68" s="76" t="s">
        <v>204</v>
      </c>
      <c r="E68" s="77" t="s">
        <v>236</v>
      </c>
      <c r="F68" s="77" t="s">
        <v>105</v>
      </c>
      <c r="G68" s="77" t="s">
        <v>150</v>
      </c>
      <c r="H68" s="78">
        <v>2</v>
      </c>
      <c r="I68" s="149"/>
      <c r="J68" s="151"/>
      <c r="K68" s="147" t="str">
        <f t="shared" si="1"/>
        <v/>
      </c>
      <c r="L68" s="112" t="s">
        <v>151</v>
      </c>
      <c r="M68" s="113" t="s">
        <v>151</v>
      </c>
      <c r="N68" s="113">
        <v>50537</v>
      </c>
      <c r="O68" s="113" t="s">
        <v>39</v>
      </c>
    </row>
    <row r="69" spans="2:15" x14ac:dyDescent="0.25">
      <c r="B69" s="84" t="s">
        <v>234</v>
      </c>
      <c r="C69" s="129" t="s">
        <v>235</v>
      </c>
      <c r="D69" s="76" t="s">
        <v>204</v>
      </c>
      <c r="E69" s="77" t="s">
        <v>237</v>
      </c>
      <c r="F69" s="77" t="s">
        <v>105</v>
      </c>
      <c r="G69" s="77" t="s">
        <v>150</v>
      </c>
      <c r="H69" s="78">
        <v>1</v>
      </c>
      <c r="I69" s="149"/>
      <c r="J69" s="151"/>
      <c r="K69" s="147" t="str">
        <f t="shared" ref="K69:K119" si="2">IF(ISNUMBER(I69),I69 * L69,"")</f>
        <v/>
      </c>
      <c r="L69" s="112" t="s">
        <v>151</v>
      </c>
      <c r="M69" s="113" t="s">
        <v>151</v>
      </c>
      <c r="N69" s="113">
        <v>53216</v>
      </c>
      <c r="O69" s="113" t="s">
        <v>39</v>
      </c>
    </row>
    <row r="70" spans="2:15" x14ac:dyDescent="0.25">
      <c r="B70" s="84" t="s">
        <v>234</v>
      </c>
      <c r="C70" s="129" t="s">
        <v>235</v>
      </c>
      <c r="D70" s="76" t="s">
        <v>204</v>
      </c>
      <c r="E70" s="77" t="s">
        <v>238</v>
      </c>
      <c r="F70" s="77" t="s">
        <v>105</v>
      </c>
      <c r="G70" s="77" t="s">
        <v>142</v>
      </c>
      <c r="H70" s="78">
        <v>4</v>
      </c>
      <c r="I70" s="149"/>
      <c r="J70" s="151"/>
      <c r="K70" s="147" t="str">
        <f t="shared" si="2"/>
        <v/>
      </c>
      <c r="L70" s="112" t="s">
        <v>143</v>
      </c>
      <c r="M70" s="113" t="s">
        <v>143</v>
      </c>
      <c r="N70" s="113">
        <v>56771</v>
      </c>
      <c r="O70" s="113" t="s">
        <v>39</v>
      </c>
    </row>
    <row r="71" spans="2:15" x14ac:dyDescent="0.25">
      <c r="B71" s="84" t="s">
        <v>239</v>
      </c>
      <c r="C71" s="129" t="s">
        <v>240</v>
      </c>
      <c r="D71" s="80"/>
      <c r="E71" s="77" t="s">
        <v>241</v>
      </c>
      <c r="F71" s="77" t="s">
        <v>105</v>
      </c>
      <c r="G71" s="77" t="s">
        <v>118</v>
      </c>
      <c r="H71" s="78">
        <v>3</v>
      </c>
      <c r="I71" s="149"/>
      <c r="J71" s="151"/>
      <c r="K71" s="147" t="str">
        <f t="shared" si="2"/>
        <v/>
      </c>
      <c r="L71" s="112" t="s">
        <v>119</v>
      </c>
      <c r="M71" s="113" t="s">
        <v>119</v>
      </c>
      <c r="N71" s="113">
        <v>50761</v>
      </c>
      <c r="O71" s="113" t="s">
        <v>39</v>
      </c>
    </row>
    <row r="72" spans="2:15" x14ac:dyDescent="0.25">
      <c r="B72" s="84" t="s">
        <v>239</v>
      </c>
      <c r="C72" s="129" t="s">
        <v>240</v>
      </c>
      <c r="D72" s="80"/>
      <c r="E72" s="77" t="s">
        <v>229</v>
      </c>
      <c r="F72" s="77" t="s">
        <v>105</v>
      </c>
      <c r="G72" s="77" t="s">
        <v>127</v>
      </c>
      <c r="H72" s="78">
        <v>12</v>
      </c>
      <c r="I72" s="149"/>
      <c r="J72" s="151"/>
      <c r="K72" s="147" t="str">
        <f t="shared" si="2"/>
        <v/>
      </c>
      <c r="L72" s="112" t="s">
        <v>128</v>
      </c>
      <c r="M72" s="113" t="s">
        <v>128</v>
      </c>
      <c r="N72" s="113">
        <v>52094</v>
      </c>
      <c r="O72" s="113" t="s">
        <v>39</v>
      </c>
    </row>
    <row r="73" spans="2:15" x14ac:dyDescent="0.25">
      <c r="B73" s="84" t="s">
        <v>239</v>
      </c>
      <c r="C73" s="129" t="s">
        <v>240</v>
      </c>
      <c r="D73" s="80"/>
      <c r="E73" s="77" t="s">
        <v>233</v>
      </c>
      <c r="F73" s="77" t="s">
        <v>105</v>
      </c>
      <c r="G73" s="77" t="s">
        <v>129</v>
      </c>
      <c r="H73" s="78">
        <v>26</v>
      </c>
      <c r="I73" s="149"/>
      <c r="J73" s="151"/>
      <c r="K73" s="147" t="str">
        <f t="shared" si="2"/>
        <v/>
      </c>
      <c r="L73" s="112" t="s">
        <v>130</v>
      </c>
      <c r="M73" s="113" t="s">
        <v>130</v>
      </c>
      <c r="N73" s="113">
        <v>53444</v>
      </c>
      <c r="O73" s="113" t="s">
        <v>39</v>
      </c>
    </row>
    <row r="74" spans="2:15" x14ac:dyDescent="0.25">
      <c r="B74" s="84" t="s">
        <v>239</v>
      </c>
      <c r="C74" s="129" t="s">
        <v>240</v>
      </c>
      <c r="D74" s="80"/>
      <c r="E74" s="77" t="s">
        <v>213</v>
      </c>
      <c r="F74" s="77" t="s">
        <v>105</v>
      </c>
      <c r="G74" s="77" t="s">
        <v>129</v>
      </c>
      <c r="H74" s="78">
        <v>37</v>
      </c>
      <c r="I74" s="149"/>
      <c r="J74" s="151"/>
      <c r="K74" s="147" t="str">
        <f t="shared" si="2"/>
        <v/>
      </c>
      <c r="L74" s="112" t="s">
        <v>130</v>
      </c>
      <c r="M74" s="113" t="s">
        <v>130</v>
      </c>
      <c r="N74" s="113">
        <v>54639</v>
      </c>
      <c r="O74" s="113" t="s">
        <v>39</v>
      </c>
    </row>
    <row r="75" spans="2:15" x14ac:dyDescent="0.25">
      <c r="B75" s="83" t="s">
        <v>40</v>
      </c>
      <c r="C75" s="130"/>
      <c r="D75" s="80"/>
      <c r="E75" s="81"/>
      <c r="F75" s="81"/>
      <c r="G75" s="81"/>
      <c r="H75" s="82"/>
      <c r="I75" s="149"/>
      <c r="J75" s="151"/>
      <c r="K75" s="147" t="str">
        <f t="shared" si="2"/>
        <v/>
      </c>
      <c r="L75" s="111"/>
      <c r="M75" s="89"/>
      <c r="O75" s="89"/>
    </row>
    <row r="76" spans="2:15" x14ac:dyDescent="0.25">
      <c r="B76" s="84" t="s">
        <v>242</v>
      </c>
      <c r="C76" s="129" t="s">
        <v>243</v>
      </c>
      <c r="D76" s="80"/>
      <c r="E76" s="77" t="s">
        <v>244</v>
      </c>
      <c r="F76" s="77" t="s">
        <v>105</v>
      </c>
      <c r="G76" s="77" t="s">
        <v>131</v>
      </c>
      <c r="H76" s="78">
        <v>2</v>
      </c>
      <c r="I76" s="149"/>
      <c r="J76" s="151"/>
      <c r="K76" s="147" t="str">
        <f t="shared" si="2"/>
        <v/>
      </c>
      <c r="L76" s="112" t="s">
        <v>132</v>
      </c>
      <c r="M76" s="113" t="s">
        <v>132</v>
      </c>
      <c r="N76" s="113">
        <v>49909</v>
      </c>
      <c r="O76" s="113" t="s">
        <v>40</v>
      </c>
    </row>
    <row r="77" spans="2:15" x14ac:dyDescent="0.25">
      <c r="B77" s="84" t="s">
        <v>245</v>
      </c>
      <c r="C77" s="129" t="s">
        <v>246</v>
      </c>
      <c r="D77" s="80"/>
      <c r="E77" s="77" t="s">
        <v>247</v>
      </c>
      <c r="F77" s="77" t="s">
        <v>105</v>
      </c>
      <c r="G77" s="77" t="s">
        <v>137</v>
      </c>
      <c r="H77" s="78">
        <v>1</v>
      </c>
      <c r="I77" s="149"/>
      <c r="J77" s="151"/>
      <c r="K77" s="147" t="str">
        <f t="shared" si="2"/>
        <v/>
      </c>
      <c r="L77" s="112" t="s">
        <v>138</v>
      </c>
      <c r="M77" s="113" t="s">
        <v>138</v>
      </c>
      <c r="N77" s="113">
        <v>51541</v>
      </c>
      <c r="O77" s="113" t="s">
        <v>40</v>
      </c>
    </row>
    <row r="78" spans="2:15" x14ac:dyDescent="0.25">
      <c r="B78" s="84" t="s">
        <v>248</v>
      </c>
      <c r="C78" s="129" t="s">
        <v>249</v>
      </c>
      <c r="D78" s="80"/>
      <c r="E78" s="77" t="s">
        <v>222</v>
      </c>
      <c r="F78" s="77" t="s">
        <v>105</v>
      </c>
      <c r="G78" s="77" t="s">
        <v>135</v>
      </c>
      <c r="H78" s="78">
        <v>12</v>
      </c>
      <c r="I78" s="149"/>
      <c r="J78" s="151"/>
      <c r="K78" s="147" t="str">
        <f t="shared" si="2"/>
        <v/>
      </c>
      <c r="L78" s="112" t="s">
        <v>136</v>
      </c>
      <c r="M78" s="113" t="s">
        <v>136</v>
      </c>
      <c r="N78" s="113">
        <v>49400</v>
      </c>
      <c r="O78" s="113" t="s">
        <v>40</v>
      </c>
    </row>
    <row r="79" spans="2:15" x14ac:dyDescent="0.25">
      <c r="B79" s="84" t="s">
        <v>248</v>
      </c>
      <c r="C79" s="129" t="s">
        <v>249</v>
      </c>
      <c r="D79" s="80"/>
      <c r="E79" s="77" t="s">
        <v>250</v>
      </c>
      <c r="F79" s="77" t="s">
        <v>105</v>
      </c>
      <c r="G79" s="77" t="s">
        <v>118</v>
      </c>
      <c r="H79" s="78">
        <v>15</v>
      </c>
      <c r="I79" s="149"/>
      <c r="J79" s="151"/>
      <c r="K79" s="147" t="str">
        <f t="shared" si="2"/>
        <v/>
      </c>
      <c r="L79" s="112" t="s">
        <v>119</v>
      </c>
      <c r="M79" s="113" t="s">
        <v>119</v>
      </c>
      <c r="N79" s="113">
        <v>51989</v>
      </c>
      <c r="O79" s="113" t="s">
        <v>40</v>
      </c>
    </row>
    <row r="80" spans="2:15" x14ac:dyDescent="0.25">
      <c r="B80" s="84" t="s">
        <v>248</v>
      </c>
      <c r="C80" s="129" t="s">
        <v>249</v>
      </c>
      <c r="D80" s="80"/>
      <c r="E80" s="77" t="s">
        <v>251</v>
      </c>
      <c r="F80" s="77" t="s">
        <v>105</v>
      </c>
      <c r="G80" s="77" t="s">
        <v>118</v>
      </c>
      <c r="H80" s="78">
        <v>11</v>
      </c>
      <c r="I80" s="149"/>
      <c r="J80" s="151"/>
      <c r="K80" s="147" t="str">
        <f t="shared" si="2"/>
        <v/>
      </c>
      <c r="L80" s="112" t="s">
        <v>119</v>
      </c>
      <c r="M80" s="113" t="s">
        <v>119</v>
      </c>
      <c r="N80" s="113">
        <v>53338</v>
      </c>
      <c r="O80" s="113" t="s">
        <v>40</v>
      </c>
    </row>
    <row r="81" spans="2:15" x14ac:dyDescent="0.25">
      <c r="B81" s="84" t="s">
        <v>252</v>
      </c>
      <c r="C81" s="129" t="s">
        <v>253</v>
      </c>
      <c r="D81" s="80"/>
      <c r="E81" s="77" t="s">
        <v>237</v>
      </c>
      <c r="F81" s="77" t="s">
        <v>175</v>
      </c>
      <c r="G81" s="77" t="s">
        <v>127</v>
      </c>
      <c r="H81" s="78">
        <v>1</v>
      </c>
      <c r="I81" s="149"/>
      <c r="J81" s="151"/>
      <c r="K81" s="147" t="str">
        <f t="shared" si="2"/>
        <v/>
      </c>
      <c r="L81" s="112" t="s">
        <v>128</v>
      </c>
      <c r="M81" s="113" t="s">
        <v>128</v>
      </c>
      <c r="N81" s="113">
        <v>57234</v>
      </c>
      <c r="O81" s="113" t="s">
        <v>40</v>
      </c>
    </row>
    <row r="82" spans="2:15" x14ac:dyDescent="0.25">
      <c r="B82" s="84" t="s">
        <v>254</v>
      </c>
      <c r="C82" s="129" t="s">
        <v>255</v>
      </c>
      <c r="D82" s="76" t="s">
        <v>204</v>
      </c>
      <c r="E82" s="77" t="s">
        <v>256</v>
      </c>
      <c r="F82" s="77" t="s">
        <v>105</v>
      </c>
      <c r="G82" s="77" t="s">
        <v>160</v>
      </c>
      <c r="H82" s="78">
        <v>54</v>
      </c>
      <c r="I82" s="149"/>
      <c r="J82" s="151"/>
      <c r="K82" s="147" t="str">
        <f t="shared" si="2"/>
        <v/>
      </c>
      <c r="L82" s="112" t="s">
        <v>161</v>
      </c>
      <c r="M82" s="113" t="s">
        <v>161</v>
      </c>
      <c r="N82" s="113">
        <v>53717</v>
      </c>
      <c r="O82" s="113" t="s">
        <v>40</v>
      </c>
    </row>
    <row r="83" spans="2:15" x14ac:dyDescent="0.25">
      <c r="B83" s="84"/>
      <c r="C83" s="129"/>
      <c r="D83" s="76"/>
      <c r="E83" s="77"/>
      <c r="F83" s="77"/>
      <c r="G83" s="77"/>
      <c r="H83" s="78"/>
      <c r="I83" s="149"/>
      <c r="J83" s="151"/>
      <c r="K83" s="147" t="str">
        <f t="shared" si="2"/>
        <v/>
      </c>
      <c r="L83" s="112"/>
      <c r="M83" s="113"/>
      <c r="N83" s="113"/>
      <c r="O83" s="113"/>
    </row>
    <row r="84" spans="2:15" x14ac:dyDescent="0.25">
      <c r="B84" s="79" t="s">
        <v>257</v>
      </c>
      <c r="C84" s="130"/>
      <c r="D84" s="80"/>
      <c r="E84" s="81"/>
      <c r="F84" s="81"/>
      <c r="G84" s="81"/>
      <c r="H84" s="82"/>
      <c r="I84" s="149"/>
      <c r="J84" s="151"/>
      <c r="K84" s="147" t="str">
        <f t="shared" si="2"/>
        <v/>
      </c>
      <c r="L84" s="111"/>
      <c r="M84" s="89"/>
      <c r="O84" s="89"/>
    </row>
    <row r="85" spans="2:15" x14ac:dyDescent="0.25">
      <c r="B85" s="83" t="s">
        <v>42</v>
      </c>
      <c r="C85" s="130"/>
      <c r="D85" s="80"/>
      <c r="E85" s="81"/>
      <c r="F85" s="81"/>
      <c r="G85" s="81"/>
      <c r="H85" s="82"/>
      <c r="I85" s="149"/>
      <c r="J85" s="151"/>
      <c r="K85" s="147" t="str">
        <f t="shared" si="2"/>
        <v/>
      </c>
      <c r="L85" s="111"/>
      <c r="M85" s="89"/>
      <c r="O85" s="89"/>
    </row>
    <row r="86" spans="2:15" x14ac:dyDescent="0.25">
      <c r="B86" s="84" t="s">
        <v>258</v>
      </c>
      <c r="C86" s="129" t="s">
        <v>259</v>
      </c>
      <c r="D86" s="80"/>
      <c r="E86" s="77" t="s">
        <v>260</v>
      </c>
      <c r="F86" s="77" t="s">
        <v>105</v>
      </c>
      <c r="G86" s="77" t="s">
        <v>261</v>
      </c>
      <c r="H86" s="78">
        <v>1</v>
      </c>
      <c r="I86" s="149"/>
      <c r="J86" s="151"/>
      <c r="K86" s="147" t="str">
        <f t="shared" si="2"/>
        <v/>
      </c>
      <c r="L86" s="112" t="s">
        <v>262</v>
      </c>
      <c r="M86" s="113" t="s">
        <v>262</v>
      </c>
      <c r="N86" s="113">
        <v>50367</v>
      </c>
      <c r="O86" s="113" t="s">
        <v>42</v>
      </c>
    </row>
    <row r="87" spans="2:15" x14ac:dyDescent="0.25">
      <c r="B87" s="83" t="s">
        <v>44</v>
      </c>
      <c r="C87" s="130"/>
      <c r="D87" s="80"/>
      <c r="E87" s="81"/>
      <c r="F87" s="81"/>
      <c r="G87" s="81"/>
      <c r="H87" s="82"/>
      <c r="I87" s="149"/>
      <c r="J87" s="151"/>
      <c r="K87" s="147" t="str">
        <f t="shared" si="2"/>
        <v/>
      </c>
      <c r="L87" s="111"/>
      <c r="M87" s="89"/>
      <c r="O87" s="89"/>
    </row>
    <row r="88" spans="2:15" x14ac:dyDescent="0.25">
      <c r="B88" s="84" t="s">
        <v>263</v>
      </c>
      <c r="C88" s="129" t="s">
        <v>264</v>
      </c>
      <c r="D88" s="76" t="s">
        <v>265</v>
      </c>
      <c r="E88" s="77" t="s">
        <v>266</v>
      </c>
      <c r="F88" s="77" t="s">
        <v>105</v>
      </c>
      <c r="G88" s="77" t="s">
        <v>267</v>
      </c>
      <c r="H88" s="78">
        <v>15</v>
      </c>
      <c r="I88" s="149"/>
      <c r="J88" s="151"/>
      <c r="K88" s="147" t="str">
        <f t="shared" si="2"/>
        <v/>
      </c>
      <c r="L88" s="112" t="s">
        <v>268</v>
      </c>
      <c r="M88" s="113" t="s">
        <v>268</v>
      </c>
      <c r="N88" s="113">
        <v>57572</v>
      </c>
      <c r="O88" s="113" t="s">
        <v>44</v>
      </c>
    </row>
    <row r="89" spans="2:15" x14ac:dyDescent="0.25">
      <c r="B89" s="84" t="s">
        <v>263</v>
      </c>
      <c r="C89" s="129" t="s">
        <v>264</v>
      </c>
      <c r="D89" s="76" t="s">
        <v>265</v>
      </c>
      <c r="E89" s="77" t="s">
        <v>269</v>
      </c>
      <c r="F89" s="77" t="s">
        <v>105</v>
      </c>
      <c r="G89" s="77" t="s">
        <v>267</v>
      </c>
      <c r="H89" s="78">
        <v>15</v>
      </c>
      <c r="I89" s="149"/>
      <c r="J89" s="151"/>
      <c r="K89" s="147" t="str">
        <f t="shared" si="2"/>
        <v/>
      </c>
      <c r="L89" s="112" t="s">
        <v>268</v>
      </c>
      <c r="M89" s="113" t="s">
        <v>268</v>
      </c>
      <c r="N89" s="113">
        <v>57573</v>
      </c>
      <c r="O89" s="113" t="s">
        <v>44</v>
      </c>
    </row>
    <row r="90" spans="2:15" x14ac:dyDescent="0.25">
      <c r="B90" s="84" t="s">
        <v>270</v>
      </c>
      <c r="C90" s="129" t="s">
        <v>271</v>
      </c>
      <c r="D90" s="76" t="s">
        <v>265</v>
      </c>
      <c r="E90" s="77" t="s">
        <v>250</v>
      </c>
      <c r="F90" s="77" t="s">
        <v>105</v>
      </c>
      <c r="G90" s="77" t="s">
        <v>129</v>
      </c>
      <c r="H90" s="78">
        <v>15</v>
      </c>
      <c r="I90" s="149"/>
      <c r="J90" s="151"/>
      <c r="K90" s="147" t="str">
        <f t="shared" si="2"/>
        <v/>
      </c>
      <c r="L90" s="112" t="s">
        <v>130</v>
      </c>
      <c r="M90" s="113" t="s">
        <v>130</v>
      </c>
      <c r="N90" s="113">
        <v>51725</v>
      </c>
      <c r="O90" s="113" t="s">
        <v>44</v>
      </c>
    </row>
    <row r="91" spans="2:15" x14ac:dyDescent="0.25">
      <c r="B91" s="84" t="s">
        <v>270</v>
      </c>
      <c r="C91" s="129" t="s">
        <v>271</v>
      </c>
      <c r="D91" s="76" t="s">
        <v>265</v>
      </c>
      <c r="E91" s="77" t="s">
        <v>269</v>
      </c>
      <c r="F91" s="77" t="s">
        <v>105</v>
      </c>
      <c r="G91" s="77" t="s">
        <v>129</v>
      </c>
      <c r="H91" s="78">
        <v>15</v>
      </c>
      <c r="I91" s="149"/>
      <c r="J91" s="151"/>
      <c r="K91" s="147" t="str">
        <f t="shared" si="2"/>
        <v/>
      </c>
      <c r="L91" s="112" t="s">
        <v>130</v>
      </c>
      <c r="M91" s="113" t="s">
        <v>130</v>
      </c>
      <c r="N91" s="113">
        <v>53066</v>
      </c>
      <c r="O91" s="113" t="s">
        <v>44</v>
      </c>
    </row>
    <row r="92" spans="2:15" x14ac:dyDescent="0.25">
      <c r="B92" s="84" t="s">
        <v>272</v>
      </c>
      <c r="C92" s="129" t="s">
        <v>273</v>
      </c>
      <c r="D92" s="76" t="s">
        <v>265</v>
      </c>
      <c r="E92" s="77" t="s">
        <v>266</v>
      </c>
      <c r="F92" s="77" t="s">
        <v>105</v>
      </c>
      <c r="G92" s="77" t="s">
        <v>274</v>
      </c>
      <c r="H92" s="78">
        <v>15</v>
      </c>
      <c r="I92" s="149"/>
      <c r="J92" s="151"/>
      <c r="K92" s="147" t="str">
        <f t="shared" si="2"/>
        <v/>
      </c>
      <c r="L92" s="112" t="s">
        <v>275</v>
      </c>
      <c r="M92" s="113" t="s">
        <v>275</v>
      </c>
      <c r="N92" s="113">
        <v>58586</v>
      </c>
      <c r="O92" s="113" t="s">
        <v>44</v>
      </c>
    </row>
    <row r="93" spans="2:15" x14ac:dyDescent="0.25">
      <c r="B93" s="84" t="s">
        <v>272</v>
      </c>
      <c r="C93" s="129" t="s">
        <v>273</v>
      </c>
      <c r="D93" s="76" t="s">
        <v>265</v>
      </c>
      <c r="E93" s="77" t="s">
        <v>269</v>
      </c>
      <c r="F93" s="77" t="s">
        <v>105</v>
      </c>
      <c r="G93" s="77" t="s">
        <v>274</v>
      </c>
      <c r="H93" s="78">
        <v>15</v>
      </c>
      <c r="I93" s="149"/>
      <c r="J93" s="151"/>
      <c r="K93" s="147" t="str">
        <f t="shared" si="2"/>
        <v/>
      </c>
      <c r="L93" s="112" t="s">
        <v>275</v>
      </c>
      <c r="M93" s="113" t="s">
        <v>275</v>
      </c>
      <c r="N93" s="113">
        <v>58587</v>
      </c>
      <c r="O93" s="113" t="s">
        <v>44</v>
      </c>
    </row>
    <row r="94" spans="2:15" x14ac:dyDescent="0.25">
      <c r="B94" s="83" t="s">
        <v>45</v>
      </c>
      <c r="C94" s="130"/>
      <c r="D94" s="80"/>
      <c r="E94" s="81"/>
      <c r="F94" s="81"/>
      <c r="G94" s="81"/>
      <c r="H94" s="82"/>
      <c r="I94" s="149"/>
      <c r="J94" s="151"/>
      <c r="K94" s="147" t="str">
        <f t="shared" si="2"/>
        <v/>
      </c>
      <c r="L94" s="111"/>
      <c r="M94" s="89"/>
      <c r="O94" s="89"/>
    </row>
    <row r="95" spans="2:15" x14ac:dyDescent="0.25">
      <c r="B95" s="84" t="s">
        <v>277</v>
      </c>
      <c r="C95" s="129" t="s">
        <v>278</v>
      </c>
      <c r="D95" s="80"/>
      <c r="E95" s="77" t="s">
        <v>279</v>
      </c>
      <c r="F95" s="77" t="s">
        <v>105</v>
      </c>
      <c r="G95" s="77" t="s">
        <v>152</v>
      </c>
      <c r="H95" s="78">
        <v>9</v>
      </c>
      <c r="I95" s="149"/>
      <c r="J95" s="151"/>
      <c r="K95" s="147" t="str">
        <f t="shared" si="2"/>
        <v/>
      </c>
      <c r="L95" s="112" t="s">
        <v>153</v>
      </c>
      <c r="M95" s="113" t="s">
        <v>153</v>
      </c>
      <c r="N95" s="113">
        <v>52736</v>
      </c>
      <c r="O95" s="113" t="s">
        <v>45</v>
      </c>
    </row>
    <row r="96" spans="2:15" x14ac:dyDescent="0.25">
      <c r="B96" s="84" t="s">
        <v>280</v>
      </c>
      <c r="C96" s="129" t="s">
        <v>281</v>
      </c>
      <c r="D96" s="76" t="s">
        <v>282</v>
      </c>
      <c r="E96" s="77" t="s">
        <v>186</v>
      </c>
      <c r="F96" s="77" t="s">
        <v>105</v>
      </c>
      <c r="G96" s="77" t="s">
        <v>169</v>
      </c>
      <c r="H96" s="78">
        <v>25</v>
      </c>
      <c r="I96" s="149"/>
      <c r="J96" s="151"/>
      <c r="K96" s="147" t="str">
        <f t="shared" si="2"/>
        <v/>
      </c>
      <c r="L96" s="112" t="s">
        <v>170</v>
      </c>
      <c r="M96" s="113" t="s">
        <v>170</v>
      </c>
      <c r="N96" s="113">
        <v>51398</v>
      </c>
      <c r="O96" s="113" t="s">
        <v>45</v>
      </c>
    </row>
    <row r="97" spans="2:15" x14ac:dyDescent="0.25">
      <c r="B97" s="84" t="s">
        <v>280</v>
      </c>
      <c r="C97" s="129" t="s">
        <v>281</v>
      </c>
      <c r="D97" s="76" t="s">
        <v>282</v>
      </c>
      <c r="E97" s="77" t="s">
        <v>279</v>
      </c>
      <c r="F97" s="77" t="s">
        <v>105</v>
      </c>
      <c r="G97" s="77" t="s">
        <v>148</v>
      </c>
      <c r="H97" s="78">
        <v>50</v>
      </c>
      <c r="I97" s="149"/>
      <c r="J97" s="151"/>
      <c r="K97" s="147" t="str">
        <f t="shared" si="2"/>
        <v/>
      </c>
      <c r="L97" s="112" t="s">
        <v>149</v>
      </c>
      <c r="M97" s="113" t="s">
        <v>149</v>
      </c>
      <c r="N97" s="113">
        <v>52739</v>
      </c>
      <c r="O97" s="113" t="s">
        <v>45</v>
      </c>
    </row>
    <row r="98" spans="2:15" x14ac:dyDescent="0.25">
      <c r="B98" s="84" t="s">
        <v>283</v>
      </c>
      <c r="C98" s="129" t="s">
        <v>284</v>
      </c>
      <c r="D98" s="80"/>
      <c r="E98" s="77" t="s">
        <v>285</v>
      </c>
      <c r="F98" s="77" t="s">
        <v>105</v>
      </c>
      <c r="G98" s="77" t="s">
        <v>286</v>
      </c>
      <c r="H98" s="78">
        <v>100</v>
      </c>
      <c r="I98" s="149"/>
      <c r="J98" s="151"/>
      <c r="K98" s="147" t="str">
        <f t="shared" si="2"/>
        <v/>
      </c>
      <c r="L98" s="112" t="s">
        <v>287</v>
      </c>
      <c r="M98" s="113" t="s">
        <v>287</v>
      </c>
      <c r="N98" s="113">
        <v>51401</v>
      </c>
      <c r="O98" s="113" t="s">
        <v>45</v>
      </c>
    </row>
    <row r="99" spans="2:15" x14ac:dyDescent="0.25">
      <c r="B99" s="84" t="s">
        <v>283</v>
      </c>
      <c r="C99" s="129" t="s">
        <v>284</v>
      </c>
      <c r="D99" s="80"/>
      <c r="E99" s="77" t="s">
        <v>288</v>
      </c>
      <c r="F99" s="77" t="s">
        <v>105</v>
      </c>
      <c r="G99" s="77" t="s">
        <v>286</v>
      </c>
      <c r="H99" s="78">
        <v>100</v>
      </c>
      <c r="I99" s="149"/>
      <c r="J99" s="151"/>
      <c r="K99" s="147" t="str">
        <f t="shared" si="2"/>
        <v/>
      </c>
      <c r="L99" s="112" t="s">
        <v>287</v>
      </c>
      <c r="M99" s="113" t="s">
        <v>287</v>
      </c>
      <c r="N99" s="113">
        <v>52742</v>
      </c>
      <c r="O99" s="113" t="s">
        <v>45</v>
      </c>
    </row>
    <row r="100" spans="2:15" x14ac:dyDescent="0.25">
      <c r="B100" s="84" t="s">
        <v>283</v>
      </c>
      <c r="C100" s="129" t="s">
        <v>284</v>
      </c>
      <c r="D100" s="80"/>
      <c r="E100" s="77" t="s">
        <v>288</v>
      </c>
      <c r="F100" s="77" t="s">
        <v>168</v>
      </c>
      <c r="G100" s="77" t="s">
        <v>166</v>
      </c>
      <c r="H100" s="78">
        <v>100</v>
      </c>
      <c r="I100" s="149"/>
      <c r="J100" s="151"/>
      <c r="K100" s="147" t="str">
        <f t="shared" si="2"/>
        <v/>
      </c>
      <c r="L100" s="112" t="s">
        <v>167</v>
      </c>
      <c r="M100" s="113" t="s">
        <v>287</v>
      </c>
      <c r="N100" s="113">
        <v>52742</v>
      </c>
      <c r="O100" s="113" t="s">
        <v>45</v>
      </c>
    </row>
    <row r="101" spans="2:15" x14ac:dyDescent="0.25">
      <c r="B101" s="84" t="s">
        <v>289</v>
      </c>
      <c r="C101" s="129" t="s">
        <v>290</v>
      </c>
      <c r="D101" s="76" t="s">
        <v>291</v>
      </c>
      <c r="E101" s="77" t="s">
        <v>292</v>
      </c>
      <c r="F101" s="77" t="s">
        <v>105</v>
      </c>
      <c r="G101" s="77" t="s">
        <v>135</v>
      </c>
      <c r="H101" s="78">
        <v>11</v>
      </c>
      <c r="I101" s="149"/>
      <c r="J101" s="151"/>
      <c r="K101" s="147" t="str">
        <f t="shared" si="2"/>
        <v/>
      </c>
      <c r="L101" s="112" t="s">
        <v>136</v>
      </c>
      <c r="M101" s="113" t="s">
        <v>136</v>
      </c>
      <c r="N101" s="113">
        <v>54054</v>
      </c>
      <c r="O101" s="113" t="s">
        <v>45</v>
      </c>
    </row>
    <row r="102" spans="2:15" x14ac:dyDescent="0.25">
      <c r="B102" s="84" t="s">
        <v>293</v>
      </c>
      <c r="C102" s="129" t="s">
        <v>294</v>
      </c>
      <c r="D102" s="80"/>
      <c r="E102" s="77" t="s">
        <v>276</v>
      </c>
      <c r="F102" s="77" t="s">
        <v>105</v>
      </c>
      <c r="G102" s="77" t="s">
        <v>169</v>
      </c>
      <c r="H102" s="78">
        <v>1</v>
      </c>
      <c r="I102" s="149"/>
      <c r="J102" s="151"/>
      <c r="K102" s="147" t="str">
        <f t="shared" si="2"/>
        <v/>
      </c>
      <c r="L102" s="112" t="s">
        <v>170</v>
      </c>
      <c r="M102" s="113" t="s">
        <v>170</v>
      </c>
      <c r="N102" s="113">
        <v>52748</v>
      </c>
      <c r="O102" s="113" t="s">
        <v>45</v>
      </c>
    </row>
    <row r="103" spans="2:15" x14ac:dyDescent="0.25">
      <c r="B103" s="84" t="s">
        <v>293</v>
      </c>
      <c r="C103" s="129" t="s">
        <v>294</v>
      </c>
      <c r="D103" s="80"/>
      <c r="E103" s="77" t="s">
        <v>292</v>
      </c>
      <c r="F103" s="77" t="s">
        <v>105</v>
      </c>
      <c r="G103" s="77" t="s">
        <v>169</v>
      </c>
      <c r="H103" s="78">
        <v>15</v>
      </c>
      <c r="I103" s="149"/>
      <c r="J103" s="151"/>
      <c r="K103" s="147" t="str">
        <f t="shared" si="2"/>
        <v/>
      </c>
      <c r="L103" s="112" t="s">
        <v>170</v>
      </c>
      <c r="M103" s="113" t="s">
        <v>170</v>
      </c>
      <c r="N103" s="113">
        <v>54055</v>
      </c>
      <c r="O103" s="113" t="s">
        <v>45</v>
      </c>
    </row>
    <row r="104" spans="2:15" x14ac:dyDescent="0.25">
      <c r="B104" s="84" t="s">
        <v>295</v>
      </c>
      <c r="C104" s="129" t="s">
        <v>296</v>
      </c>
      <c r="D104" s="80"/>
      <c r="E104" s="77" t="s">
        <v>279</v>
      </c>
      <c r="F104" s="77" t="s">
        <v>105</v>
      </c>
      <c r="G104" s="77" t="s">
        <v>148</v>
      </c>
      <c r="H104" s="78">
        <v>50</v>
      </c>
      <c r="I104" s="149"/>
      <c r="J104" s="151"/>
      <c r="K104" s="147" t="str">
        <f t="shared" si="2"/>
        <v/>
      </c>
      <c r="L104" s="112" t="s">
        <v>149</v>
      </c>
      <c r="M104" s="113" t="s">
        <v>149</v>
      </c>
      <c r="N104" s="113">
        <v>52752</v>
      </c>
      <c r="O104" s="113" t="s">
        <v>45</v>
      </c>
    </row>
    <row r="105" spans="2:15" x14ac:dyDescent="0.25">
      <c r="B105" s="84" t="s">
        <v>297</v>
      </c>
      <c r="C105" s="129" t="s">
        <v>298</v>
      </c>
      <c r="D105" s="80"/>
      <c r="E105" s="77" t="s">
        <v>186</v>
      </c>
      <c r="F105" s="77" t="s">
        <v>105</v>
      </c>
      <c r="G105" s="77" t="s">
        <v>169</v>
      </c>
      <c r="H105" s="78">
        <v>26</v>
      </c>
      <c r="I105" s="149"/>
      <c r="J105" s="151"/>
      <c r="K105" s="147" t="str">
        <f t="shared" si="2"/>
        <v/>
      </c>
      <c r="L105" s="112" t="s">
        <v>170</v>
      </c>
      <c r="M105" s="113" t="s">
        <v>170</v>
      </c>
      <c r="N105" s="113">
        <v>52077</v>
      </c>
      <c r="O105" s="113" t="s">
        <v>45</v>
      </c>
    </row>
    <row r="106" spans="2:15" x14ac:dyDescent="0.25">
      <c r="B106" s="84" t="s">
        <v>297</v>
      </c>
      <c r="C106" s="129" t="s">
        <v>298</v>
      </c>
      <c r="D106" s="80"/>
      <c r="E106" s="77" t="s">
        <v>279</v>
      </c>
      <c r="F106" s="77" t="s">
        <v>105</v>
      </c>
      <c r="G106" s="77" t="s">
        <v>169</v>
      </c>
      <c r="H106" s="78">
        <v>46</v>
      </c>
      <c r="I106" s="149"/>
      <c r="J106" s="151"/>
      <c r="K106" s="147" t="str">
        <f t="shared" si="2"/>
        <v/>
      </c>
      <c r="L106" s="112" t="s">
        <v>170</v>
      </c>
      <c r="M106" s="113" t="s">
        <v>170</v>
      </c>
      <c r="N106" s="113">
        <v>53427</v>
      </c>
      <c r="O106" s="113" t="s">
        <v>45</v>
      </c>
    </row>
    <row r="107" spans="2:15" x14ac:dyDescent="0.25">
      <c r="B107" s="83" t="s">
        <v>46</v>
      </c>
      <c r="C107" s="130"/>
      <c r="D107" s="80"/>
      <c r="E107" s="81"/>
      <c r="F107" s="81"/>
      <c r="G107" s="81"/>
      <c r="H107" s="82"/>
      <c r="I107" s="149"/>
      <c r="J107" s="151"/>
      <c r="K107" s="147" t="str">
        <f t="shared" si="2"/>
        <v/>
      </c>
      <c r="L107" s="111"/>
      <c r="M107" s="89"/>
      <c r="O107" s="89"/>
    </row>
    <row r="108" spans="2:15" x14ac:dyDescent="0.25">
      <c r="B108" s="84" t="s">
        <v>299</v>
      </c>
      <c r="C108" s="129" t="s">
        <v>300</v>
      </c>
      <c r="D108" s="80"/>
      <c r="E108" s="77" t="s">
        <v>174</v>
      </c>
      <c r="F108" s="77" t="s">
        <v>105</v>
      </c>
      <c r="G108" s="77" t="s">
        <v>169</v>
      </c>
      <c r="H108" s="78">
        <v>30</v>
      </c>
      <c r="I108" s="149"/>
      <c r="J108" s="151"/>
      <c r="K108" s="147" t="str">
        <f t="shared" si="2"/>
        <v/>
      </c>
      <c r="L108" s="112" t="s">
        <v>170</v>
      </c>
      <c r="M108" s="113" t="s">
        <v>170</v>
      </c>
      <c r="N108" s="113">
        <v>50058</v>
      </c>
      <c r="O108" s="113" t="s">
        <v>46</v>
      </c>
    </row>
    <row r="109" spans="2:15" x14ac:dyDescent="0.25">
      <c r="B109" s="84" t="s">
        <v>299</v>
      </c>
      <c r="C109" s="129" t="s">
        <v>300</v>
      </c>
      <c r="D109" s="80"/>
      <c r="E109" s="77" t="s">
        <v>247</v>
      </c>
      <c r="F109" s="77" t="s">
        <v>105</v>
      </c>
      <c r="G109" s="77" t="s">
        <v>172</v>
      </c>
      <c r="H109" s="78">
        <v>27</v>
      </c>
      <c r="I109" s="149"/>
      <c r="J109" s="151"/>
      <c r="K109" s="147" t="str">
        <f t="shared" si="2"/>
        <v/>
      </c>
      <c r="L109" s="112" t="s">
        <v>173</v>
      </c>
      <c r="M109" s="113" t="s">
        <v>173</v>
      </c>
      <c r="N109" s="113">
        <v>51372</v>
      </c>
      <c r="O109" s="113" t="s">
        <v>46</v>
      </c>
    </row>
    <row r="110" spans="2:15" x14ac:dyDescent="0.25">
      <c r="B110" s="84" t="s">
        <v>299</v>
      </c>
      <c r="C110" s="129" t="s">
        <v>300</v>
      </c>
      <c r="D110" s="80"/>
      <c r="E110" s="77" t="s">
        <v>301</v>
      </c>
      <c r="F110" s="77" t="s">
        <v>105</v>
      </c>
      <c r="G110" s="77" t="s">
        <v>135</v>
      </c>
      <c r="H110" s="78">
        <v>18</v>
      </c>
      <c r="I110" s="149"/>
      <c r="J110" s="151"/>
      <c r="K110" s="147" t="str">
        <f t="shared" si="2"/>
        <v/>
      </c>
      <c r="L110" s="112" t="s">
        <v>136</v>
      </c>
      <c r="M110" s="113" t="s">
        <v>136</v>
      </c>
      <c r="N110" s="113">
        <v>52712</v>
      </c>
      <c r="O110" s="113" t="s">
        <v>46</v>
      </c>
    </row>
    <row r="111" spans="2:15" x14ac:dyDescent="0.25">
      <c r="B111" s="84" t="s">
        <v>302</v>
      </c>
      <c r="C111" s="129" t="s">
        <v>303</v>
      </c>
      <c r="D111" s="80"/>
      <c r="E111" s="77" t="s">
        <v>186</v>
      </c>
      <c r="F111" s="77" t="s">
        <v>105</v>
      </c>
      <c r="G111" s="77" t="s">
        <v>172</v>
      </c>
      <c r="H111" s="78">
        <v>20</v>
      </c>
      <c r="I111" s="149"/>
      <c r="J111" s="151"/>
      <c r="K111" s="147" t="str">
        <f t="shared" si="2"/>
        <v/>
      </c>
      <c r="L111" s="112" t="s">
        <v>173</v>
      </c>
      <c r="M111" s="113" t="s">
        <v>173</v>
      </c>
      <c r="N111" s="113">
        <v>56990</v>
      </c>
      <c r="O111" s="113" t="s">
        <v>46</v>
      </c>
    </row>
    <row r="112" spans="2:15" x14ac:dyDescent="0.25">
      <c r="B112" s="84" t="s">
        <v>304</v>
      </c>
      <c r="C112" s="129" t="s">
        <v>305</v>
      </c>
      <c r="D112" s="80"/>
      <c r="E112" s="77" t="s">
        <v>306</v>
      </c>
      <c r="F112" s="77" t="s">
        <v>105</v>
      </c>
      <c r="G112" s="77" t="s">
        <v>115</v>
      </c>
      <c r="H112" s="78">
        <v>5</v>
      </c>
      <c r="I112" s="149"/>
      <c r="J112" s="151"/>
      <c r="K112" s="147" t="str">
        <f t="shared" si="2"/>
        <v/>
      </c>
      <c r="L112" s="112" t="s">
        <v>116</v>
      </c>
      <c r="M112" s="113" t="s">
        <v>116</v>
      </c>
      <c r="N112" s="113">
        <v>56821</v>
      </c>
      <c r="O112" s="113" t="s">
        <v>46</v>
      </c>
    </row>
    <row r="113" spans="2:15" x14ac:dyDescent="0.25">
      <c r="B113" s="84" t="s">
        <v>307</v>
      </c>
      <c r="C113" s="129" t="s">
        <v>308</v>
      </c>
      <c r="D113" s="80"/>
      <c r="E113" s="77" t="s">
        <v>186</v>
      </c>
      <c r="F113" s="77" t="s">
        <v>105</v>
      </c>
      <c r="G113" s="77" t="s">
        <v>115</v>
      </c>
      <c r="H113" s="78">
        <v>4</v>
      </c>
      <c r="I113" s="149"/>
      <c r="J113" s="151"/>
      <c r="K113" s="147" t="str">
        <f t="shared" si="2"/>
        <v/>
      </c>
      <c r="L113" s="112" t="s">
        <v>116</v>
      </c>
      <c r="M113" s="113" t="s">
        <v>116</v>
      </c>
      <c r="N113" s="113">
        <v>51200</v>
      </c>
      <c r="O113" s="113" t="s">
        <v>46</v>
      </c>
    </row>
    <row r="114" spans="2:15" x14ac:dyDescent="0.25">
      <c r="B114" s="83" t="s">
        <v>47</v>
      </c>
      <c r="C114" s="130"/>
      <c r="D114" s="80"/>
      <c r="E114" s="81"/>
      <c r="F114" s="81"/>
      <c r="G114" s="81"/>
      <c r="H114" s="82"/>
      <c r="I114" s="149"/>
      <c r="J114" s="151"/>
      <c r="K114" s="147" t="str">
        <f t="shared" si="2"/>
        <v/>
      </c>
      <c r="L114" s="111"/>
      <c r="M114" s="89"/>
      <c r="O114" s="89"/>
    </row>
    <row r="115" spans="2:15" x14ac:dyDescent="0.25">
      <c r="B115" s="84" t="s">
        <v>309</v>
      </c>
      <c r="C115" s="129" t="s">
        <v>310</v>
      </c>
      <c r="D115" s="76" t="s">
        <v>311</v>
      </c>
      <c r="E115" s="77" t="s">
        <v>185</v>
      </c>
      <c r="F115" s="77" t="s">
        <v>105</v>
      </c>
      <c r="G115" s="77" t="s">
        <v>312</v>
      </c>
      <c r="H115" s="78">
        <v>2</v>
      </c>
      <c r="I115" s="149"/>
      <c r="J115" s="151"/>
      <c r="K115" s="147" t="str">
        <f t="shared" si="2"/>
        <v/>
      </c>
      <c r="L115" s="112" t="s">
        <v>313</v>
      </c>
      <c r="M115" s="113" t="s">
        <v>313</v>
      </c>
      <c r="N115" s="113">
        <v>49838</v>
      </c>
      <c r="O115" s="113" t="s">
        <v>47</v>
      </c>
    </row>
    <row r="116" spans="2:15" x14ac:dyDescent="0.25">
      <c r="B116" s="84" t="s">
        <v>309</v>
      </c>
      <c r="C116" s="129" t="s">
        <v>310</v>
      </c>
      <c r="D116" s="76" t="s">
        <v>311</v>
      </c>
      <c r="E116" s="77" t="s">
        <v>306</v>
      </c>
      <c r="F116" s="77" t="s">
        <v>105</v>
      </c>
      <c r="G116" s="77" t="s">
        <v>312</v>
      </c>
      <c r="H116" s="78">
        <v>9</v>
      </c>
      <c r="I116" s="149"/>
      <c r="J116" s="151"/>
      <c r="K116" s="147" t="str">
        <f t="shared" si="2"/>
        <v/>
      </c>
      <c r="L116" s="112" t="s">
        <v>313</v>
      </c>
      <c r="M116" s="113" t="s">
        <v>313</v>
      </c>
      <c r="N116" s="113">
        <v>51148</v>
      </c>
      <c r="O116" s="113" t="s">
        <v>47</v>
      </c>
    </row>
    <row r="117" spans="2:15" x14ac:dyDescent="0.25">
      <c r="B117" s="84" t="s">
        <v>316</v>
      </c>
      <c r="C117" s="129" t="s">
        <v>317</v>
      </c>
      <c r="D117" s="76" t="s">
        <v>318</v>
      </c>
      <c r="E117" s="77" t="s">
        <v>185</v>
      </c>
      <c r="F117" s="77" t="s">
        <v>105</v>
      </c>
      <c r="G117" s="77" t="s">
        <v>154</v>
      </c>
      <c r="H117" s="78">
        <v>1</v>
      </c>
      <c r="I117" s="149"/>
      <c r="J117" s="151"/>
      <c r="K117" s="147" t="str">
        <f t="shared" si="2"/>
        <v/>
      </c>
      <c r="L117" s="112" t="s">
        <v>155</v>
      </c>
      <c r="M117" s="113" t="s">
        <v>155</v>
      </c>
      <c r="N117" s="113">
        <v>49846</v>
      </c>
      <c r="O117" s="113" t="s">
        <v>47</v>
      </c>
    </row>
    <row r="118" spans="2:15" x14ac:dyDescent="0.25">
      <c r="B118" s="84" t="s">
        <v>316</v>
      </c>
      <c r="C118" s="129" t="s">
        <v>317</v>
      </c>
      <c r="D118" s="76" t="s">
        <v>318</v>
      </c>
      <c r="E118" s="77" t="s">
        <v>306</v>
      </c>
      <c r="F118" s="77" t="s">
        <v>105</v>
      </c>
      <c r="G118" s="77" t="s">
        <v>156</v>
      </c>
      <c r="H118" s="78">
        <v>6</v>
      </c>
      <c r="I118" s="149"/>
      <c r="J118" s="151"/>
      <c r="K118" s="147" t="str">
        <f t="shared" si="2"/>
        <v/>
      </c>
      <c r="L118" s="112" t="s">
        <v>157</v>
      </c>
      <c r="M118" s="113" t="s">
        <v>157</v>
      </c>
      <c r="N118" s="113">
        <v>51156</v>
      </c>
      <c r="O118" s="113" t="s">
        <v>47</v>
      </c>
    </row>
    <row r="119" spans="2:15" x14ac:dyDescent="0.25">
      <c r="B119" s="84" t="s">
        <v>316</v>
      </c>
      <c r="C119" s="129" t="s">
        <v>317</v>
      </c>
      <c r="D119" s="76" t="s">
        <v>318</v>
      </c>
      <c r="E119" s="77" t="s">
        <v>314</v>
      </c>
      <c r="F119" s="77" t="s">
        <v>105</v>
      </c>
      <c r="G119" s="77" t="s">
        <v>127</v>
      </c>
      <c r="H119" s="78">
        <v>5</v>
      </c>
      <c r="I119" s="149"/>
      <c r="J119" s="151"/>
      <c r="K119" s="147" t="str">
        <f t="shared" si="2"/>
        <v/>
      </c>
      <c r="L119" s="112" t="s">
        <v>128</v>
      </c>
      <c r="M119" s="113" t="s">
        <v>128</v>
      </c>
      <c r="N119" s="113">
        <v>52497</v>
      </c>
      <c r="O119" s="113" t="s">
        <v>47</v>
      </c>
    </row>
    <row r="120" spans="2:15" x14ac:dyDescent="0.25">
      <c r="B120" s="84" t="s">
        <v>316</v>
      </c>
      <c r="C120" s="129" t="s">
        <v>317</v>
      </c>
      <c r="D120" s="76" t="s">
        <v>318</v>
      </c>
      <c r="E120" s="77" t="s">
        <v>315</v>
      </c>
      <c r="F120" s="77" t="s">
        <v>105</v>
      </c>
      <c r="G120" s="77" t="s">
        <v>156</v>
      </c>
      <c r="H120" s="78">
        <v>4</v>
      </c>
      <c r="I120" s="149"/>
      <c r="J120" s="151"/>
      <c r="K120" s="147" t="str">
        <f t="shared" ref="K120:K166" si="3">IF(ISNUMBER(I120),I120 * L120,"")</f>
        <v/>
      </c>
      <c r="L120" s="112" t="s">
        <v>157</v>
      </c>
      <c r="M120" s="113" t="s">
        <v>157</v>
      </c>
      <c r="N120" s="113">
        <v>53840</v>
      </c>
      <c r="O120" s="113" t="s">
        <v>47</v>
      </c>
    </row>
    <row r="121" spans="2:15" x14ac:dyDescent="0.25">
      <c r="B121" s="84" t="s">
        <v>321</v>
      </c>
      <c r="C121" s="129" t="s">
        <v>322</v>
      </c>
      <c r="D121" s="76" t="s">
        <v>318</v>
      </c>
      <c r="E121" s="77" t="s">
        <v>314</v>
      </c>
      <c r="F121" s="77" t="s">
        <v>105</v>
      </c>
      <c r="G121" s="77" t="s">
        <v>118</v>
      </c>
      <c r="H121" s="78">
        <v>1</v>
      </c>
      <c r="I121" s="149"/>
      <c r="J121" s="151"/>
      <c r="K121" s="147" t="str">
        <f t="shared" si="3"/>
        <v/>
      </c>
      <c r="L121" s="112" t="s">
        <v>119</v>
      </c>
      <c r="M121" s="113" t="s">
        <v>119</v>
      </c>
      <c r="N121" s="113">
        <v>52503</v>
      </c>
      <c r="O121" s="113" t="s">
        <v>47</v>
      </c>
    </row>
    <row r="122" spans="2:15" x14ac:dyDescent="0.25">
      <c r="B122" s="84" t="s">
        <v>321</v>
      </c>
      <c r="C122" s="129" t="s">
        <v>322</v>
      </c>
      <c r="D122" s="76" t="s">
        <v>311</v>
      </c>
      <c r="E122" s="77" t="s">
        <v>314</v>
      </c>
      <c r="F122" s="77" t="s">
        <v>105</v>
      </c>
      <c r="G122" s="77" t="s">
        <v>312</v>
      </c>
      <c r="H122" s="78">
        <v>5</v>
      </c>
      <c r="I122" s="149"/>
      <c r="J122" s="151"/>
      <c r="K122" s="147" t="str">
        <f t="shared" si="3"/>
        <v/>
      </c>
      <c r="L122" s="112" t="s">
        <v>313</v>
      </c>
      <c r="M122" s="113" t="s">
        <v>313</v>
      </c>
      <c r="N122" s="113">
        <v>52502</v>
      </c>
      <c r="O122" s="113" t="s">
        <v>47</v>
      </c>
    </row>
    <row r="123" spans="2:15" x14ac:dyDescent="0.25">
      <c r="B123" s="84" t="s">
        <v>323</v>
      </c>
      <c r="C123" s="129" t="s">
        <v>324</v>
      </c>
      <c r="D123" s="76" t="s">
        <v>311</v>
      </c>
      <c r="E123" s="77" t="s">
        <v>325</v>
      </c>
      <c r="F123" s="77" t="s">
        <v>105</v>
      </c>
      <c r="G123" s="77" t="s">
        <v>192</v>
      </c>
      <c r="H123" s="78">
        <v>5</v>
      </c>
      <c r="I123" s="149"/>
      <c r="J123" s="151"/>
      <c r="K123" s="147" t="str">
        <f t="shared" si="3"/>
        <v/>
      </c>
      <c r="L123" s="112" t="s">
        <v>193</v>
      </c>
      <c r="M123" s="113" t="s">
        <v>193</v>
      </c>
      <c r="N123" s="113">
        <v>54631</v>
      </c>
      <c r="O123" s="113" t="s">
        <v>47</v>
      </c>
    </row>
    <row r="124" spans="2:15" x14ac:dyDescent="0.25">
      <c r="B124" s="83" t="s">
        <v>48</v>
      </c>
      <c r="C124" s="130"/>
      <c r="D124" s="80"/>
      <c r="E124" s="81"/>
      <c r="F124" s="81"/>
      <c r="G124" s="81"/>
      <c r="H124" s="82"/>
      <c r="I124" s="149"/>
      <c r="J124" s="151"/>
      <c r="K124" s="147" t="str">
        <f t="shared" si="3"/>
        <v/>
      </c>
      <c r="L124" s="111"/>
      <c r="M124" s="89"/>
      <c r="O124" s="89"/>
    </row>
    <row r="125" spans="2:15" x14ac:dyDescent="0.25">
      <c r="B125" s="84" t="s">
        <v>326</v>
      </c>
      <c r="C125" s="129" t="s">
        <v>327</v>
      </c>
      <c r="D125" s="80"/>
      <c r="E125" s="77" t="s">
        <v>185</v>
      </c>
      <c r="F125" s="77" t="s">
        <v>105</v>
      </c>
      <c r="G125" s="77" t="s">
        <v>133</v>
      </c>
      <c r="H125" s="78">
        <v>9</v>
      </c>
      <c r="I125" s="149"/>
      <c r="J125" s="151"/>
      <c r="K125" s="147" t="str">
        <f t="shared" si="3"/>
        <v/>
      </c>
      <c r="L125" s="112" t="s">
        <v>134</v>
      </c>
      <c r="M125" s="113" t="s">
        <v>134</v>
      </c>
      <c r="N125" s="113">
        <v>50764</v>
      </c>
      <c r="O125" s="113" t="s">
        <v>48</v>
      </c>
    </row>
    <row r="126" spans="2:15" x14ac:dyDescent="0.25">
      <c r="B126" s="84" t="s">
        <v>326</v>
      </c>
      <c r="C126" s="129" t="s">
        <v>327</v>
      </c>
      <c r="D126" s="80"/>
      <c r="E126" s="77" t="s">
        <v>285</v>
      </c>
      <c r="F126" s="77" t="s">
        <v>105</v>
      </c>
      <c r="G126" s="77" t="s">
        <v>135</v>
      </c>
      <c r="H126" s="78">
        <v>19</v>
      </c>
      <c r="I126" s="149"/>
      <c r="J126" s="151"/>
      <c r="K126" s="147" t="str">
        <f t="shared" si="3"/>
        <v/>
      </c>
      <c r="L126" s="112" t="s">
        <v>136</v>
      </c>
      <c r="M126" s="113" t="s">
        <v>136</v>
      </c>
      <c r="N126" s="113">
        <v>52097</v>
      </c>
      <c r="O126" s="113" t="s">
        <v>48</v>
      </c>
    </row>
    <row r="127" spans="2:15" x14ac:dyDescent="0.25">
      <c r="B127" s="84" t="s">
        <v>328</v>
      </c>
      <c r="C127" s="129" t="s">
        <v>329</v>
      </c>
      <c r="D127" s="80"/>
      <c r="E127" s="77" t="s">
        <v>174</v>
      </c>
      <c r="F127" s="77" t="s">
        <v>105</v>
      </c>
      <c r="G127" s="77" t="s">
        <v>172</v>
      </c>
      <c r="H127" s="78">
        <v>25</v>
      </c>
      <c r="I127" s="149"/>
      <c r="J127" s="151"/>
      <c r="K127" s="147" t="str">
        <f t="shared" si="3"/>
        <v/>
      </c>
      <c r="L127" s="112" t="s">
        <v>173</v>
      </c>
      <c r="M127" s="113" t="s">
        <v>173</v>
      </c>
      <c r="N127" s="113">
        <v>50763</v>
      </c>
      <c r="O127" s="113" t="s">
        <v>48</v>
      </c>
    </row>
    <row r="128" spans="2:15" x14ac:dyDescent="0.25">
      <c r="B128" s="84" t="s">
        <v>328</v>
      </c>
      <c r="C128" s="129" t="s">
        <v>329</v>
      </c>
      <c r="D128" s="80"/>
      <c r="E128" s="77" t="s">
        <v>247</v>
      </c>
      <c r="F128" s="77" t="s">
        <v>105</v>
      </c>
      <c r="G128" s="77" t="s">
        <v>133</v>
      </c>
      <c r="H128" s="78">
        <v>25</v>
      </c>
      <c r="I128" s="149"/>
      <c r="J128" s="151"/>
      <c r="K128" s="147" t="str">
        <f t="shared" si="3"/>
        <v/>
      </c>
      <c r="L128" s="112" t="s">
        <v>134</v>
      </c>
      <c r="M128" s="113" t="s">
        <v>134</v>
      </c>
      <c r="N128" s="113">
        <v>52096</v>
      </c>
      <c r="O128" s="113" t="s">
        <v>48</v>
      </c>
    </row>
    <row r="129" spans="2:15" x14ac:dyDescent="0.25">
      <c r="B129" s="84" t="s">
        <v>328</v>
      </c>
      <c r="C129" s="129" t="s">
        <v>329</v>
      </c>
      <c r="D129" s="80"/>
      <c r="E129" s="77" t="s">
        <v>301</v>
      </c>
      <c r="F129" s="77" t="s">
        <v>105</v>
      </c>
      <c r="G129" s="77" t="s">
        <v>135</v>
      </c>
      <c r="H129" s="78">
        <v>25</v>
      </c>
      <c r="I129" s="149"/>
      <c r="J129" s="151"/>
      <c r="K129" s="147" t="str">
        <f t="shared" si="3"/>
        <v/>
      </c>
      <c r="L129" s="112" t="s">
        <v>136</v>
      </c>
      <c r="M129" s="113" t="s">
        <v>136</v>
      </c>
      <c r="N129" s="113">
        <v>53446</v>
      </c>
      <c r="O129" s="113" t="s">
        <v>48</v>
      </c>
    </row>
    <row r="130" spans="2:15" x14ac:dyDescent="0.25">
      <c r="B130" s="84" t="s">
        <v>331</v>
      </c>
      <c r="C130" s="129" t="s">
        <v>332</v>
      </c>
      <c r="D130" s="76" t="s">
        <v>330</v>
      </c>
      <c r="E130" s="77" t="s">
        <v>210</v>
      </c>
      <c r="F130" s="77" t="s">
        <v>105</v>
      </c>
      <c r="G130" s="77" t="s">
        <v>156</v>
      </c>
      <c r="H130" s="78">
        <v>12</v>
      </c>
      <c r="I130" s="149"/>
      <c r="J130" s="151"/>
      <c r="K130" s="147" t="str">
        <f t="shared" si="3"/>
        <v/>
      </c>
      <c r="L130" s="112" t="s">
        <v>157</v>
      </c>
      <c r="M130" s="113" t="s">
        <v>157</v>
      </c>
      <c r="N130" s="113">
        <v>52104</v>
      </c>
      <c r="O130" s="113" t="s">
        <v>48</v>
      </c>
    </row>
    <row r="131" spans="2:15" x14ac:dyDescent="0.25">
      <c r="B131" s="84" t="s">
        <v>331</v>
      </c>
      <c r="C131" s="129" t="s">
        <v>332</v>
      </c>
      <c r="D131" s="76" t="s">
        <v>330</v>
      </c>
      <c r="E131" s="77" t="s">
        <v>237</v>
      </c>
      <c r="F131" s="77" t="s">
        <v>105</v>
      </c>
      <c r="G131" s="77" t="s">
        <v>127</v>
      </c>
      <c r="H131" s="78">
        <v>23</v>
      </c>
      <c r="I131" s="149"/>
      <c r="J131" s="151"/>
      <c r="K131" s="147" t="str">
        <f t="shared" si="3"/>
        <v/>
      </c>
      <c r="L131" s="112" t="s">
        <v>128</v>
      </c>
      <c r="M131" s="113" t="s">
        <v>128</v>
      </c>
      <c r="N131" s="113">
        <v>53455</v>
      </c>
      <c r="O131" s="113" t="s">
        <v>48</v>
      </c>
    </row>
    <row r="132" spans="2:15" x14ac:dyDescent="0.25">
      <c r="B132" s="84" t="s">
        <v>333</v>
      </c>
      <c r="C132" s="129" t="s">
        <v>334</v>
      </c>
      <c r="D132" s="76" t="s">
        <v>330</v>
      </c>
      <c r="E132" s="77" t="s">
        <v>247</v>
      </c>
      <c r="F132" s="77" t="s">
        <v>105</v>
      </c>
      <c r="G132" s="77" t="s">
        <v>154</v>
      </c>
      <c r="H132" s="78">
        <v>14</v>
      </c>
      <c r="I132" s="149"/>
      <c r="J132" s="151"/>
      <c r="K132" s="147" t="str">
        <f t="shared" si="3"/>
        <v/>
      </c>
      <c r="L132" s="112" t="s">
        <v>155</v>
      </c>
      <c r="M132" s="113" t="s">
        <v>155</v>
      </c>
      <c r="N132" s="113">
        <v>52105</v>
      </c>
      <c r="O132" s="113" t="s">
        <v>48</v>
      </c>
    </row>
    <row r="133" spans="2:15" x14ac:dyDescent="0.25">
      <c r="B133" s="84" t="s">
        <v>333</v>
      </c>
      <c r="C133" s="129" t="s">
        <v>334</v>
      </c>
      <c r="D133" s="76" t="s">
        <v>291</v>
      </c>
      <c r="E133" s="77" t="s">
        <v>301</v>
      </c>
      <c r="F133" s="77" t="s">
        <v>105</v>
      </c>
      <c r="G133" s="77" t="s">
        <v>127</v>
      </c>
      <c r="H133" s="78">
        <v>1</v>
      </c>
      <c r="I133" s="149"/>
      <c r="J133" s="151"/>
      <c r="K133" s="147" t="str">
        <f t="shared" si="3"/>
        <v/>
      </c>
      <c r="L133" s="112" t="s">
        <v>128</v>
      </c>
      <c r="M133" s="113" t="s">
        <v>128</v>
      </c>
      <c r="N133" s="113">
        <v>53458</v>
      </c>
      <c r="O133" s="113" t="s">
        <v>48</v>
      </c>
    </row>
    <row r="134" spans="2:15" x14ac:dyDescent="0.25">
      <c r="B134" s="83" t="s">
        <v>51</v>
      </c>
      <c r="C134" s="130"/>
      <c r="D134" s="80"/>
      <c r="E134" s="81"/>
      <c r="F134" s="81"/>
      <c r="G134" s="81"/>
      <c r="H134" s="82"/>
      <c r="I134" s="149"/>
      <c r="J134" s="151"/>
      <c r="K134" s="147" t="str">
        <f t="shared" si="3"/>
        <v/>
      </c>
      <c r="L134" s="111"/>
      <c r="M134" s="89"/>
      <c r="O134" s="89"/>
    </row>
    <row r="135" spans="2:15" x14ac:dyDescent="0.25">
      <c r="B135" s="84" t="s">
        <v>335</v>
      </c>
      <c r="C135" s="129" t="s">
        <v>336</v>
      </c>
      <c r="D135" s="80"/>
      <c r="E135" s="77" t="s">
        <v>251</v>
      </c>
      <c r="F135" s="77" t="s">
        <v>105</v>
      </c>
      <c r="G135" s="77" t="s">
        <v>337</v>
      </c>
      <c r="H135" s="78">
        <v>2</v>
      </c>
      <c r="I135" s="149"/>
      <c r="J135" s="151"/>
      <c r="K135" s="147" t="str">
        <f t="shared" si="3"/>
        <v/>
      </c>
      <c r="L135" s="112" t="s">
        <v>338</v>
      </c>
      <c r="M135" s="113" t="s">
        <v>338</v>
      </c>
      <c r="N135" s="113">
        <v>52649</v>
      </c>
      <c r="O135" s="113" t="s">
        <v>51</v>
      </c>
    </row>
    <row r="136" spans="2:15" x14ac:dyDescent="0.25">
      <c r="B136" s="84" t="s">
        <v>335</v>
      </c>
      <c r="C136" s="129" t="s">
        <v>336</v>
      </c>
      <c r="D136" s="80"/>
      <c r="E136" s="77" t="s">
        <v>339</v>
      </c>
      <c r="F136" s="77" t="s">
        <v>105</v>
      </c>
      <c r="G136" s="77" t="s">
        <v>337</v>
      </c>
      <c r="H136" s="78">
        <v>1</v>
      </c>
      <c r="I136" s="149"/>
      <c r="J136" s="151"/>
      <c r="K136" s="147" t="str">
        <f t="shared" si="3"/>
        <v/>
      </c>
      <c r="L136" s="112" t="s">
        <v>338</v>
      </c>
      <c r="M136" s="113" t="s">
        <v>338</v>
      </c>
      <c r="N136" s="113">
        <v>53967</v>
      </c>
      <c r="O136" s="113" t="s">
        <v>51</v>
      </c>
    </row>
    <row r="137" spans="2:15" x14ac:dyDescent="0.25">
      <c r="B137" s="84" t="s">
        <v>340</v>
      </c>
      <c r="C137" s="129" t="s">
        <v>341</v>
      </c>
      <c r="D137" s="80"/>
      <c r="E137" s="77" t="s">
        <v>222</v>
      </c>
      <c r="F137" s="77" t="s">
        <v>105</v>
      </c>
      <c r="G137" s="77" t="s">
        <v>144</v>
      </c>
      <c r="H137" s="78">
        <v>1</v>
      </c>
      <c r="I137" s="149"/>
      <c r="J137" s="151"/>
      <c r="K137" s="147" t="str">
        <f t="shared" si="3"/>
        <v/>
      </c>
      <c r="L137" s="112" t="s">
        <v>145</v>
      </c>
      <c r="M137" s="113" t="s">
        <v>145</v>
      </c>
      <c r="N137" s="113">
        <v>49988</v>
      </c>
      <c r="O137" s="113" t="s">
        <v>51</v>
      </c>
    </row>
    <row r="138" spans="2:15" x14ac:dyDescent="0.25">
      <c r="B138" s="84" t="s">
        <v>342</v>
      </c>
      <c r="C138" s="129" t="s">
        <v>343</v>
      </c>
      <c r="D138" s="80"/>
      <c r="E138" s="77" t="s">
        <v>285</v>
      </c>
      <c r="F138" s="77" t="s">
        <v>105</v>
      </c>
      <c r="G138" s="77" t="s">
        <v>154</v>
      </c>
      <c r="H138" s="78">
        <v>1</v>
      </c>
      <c r="I138" s="149"/>
      <c r="J138" s="151"/>
      <c r="K138" s="147" t="str">
        <f t="shared" si="3"/>
        <v/>
      </c>
      <c r="L138" s="112" t="s">
        <v>155</v>
      </c>
      <c r="M138" s="113" t="s">
        <v>155</v>
      </c>
      <c r="N138" s="113">
        <v>51300</v>
      </c>
      <c r="O138" s="113" t="s">
        <v>51</v>
      </c>
    </row>
    <row r="139" spans="2:15" x14ac:dyDescent="0.25">
      <c r="B139" s="84" t="s">
        <v>344</v>
      </c>
      <c r="C139" s="129" t="s">
        <v>345</v>
      </c>
      <c r="D139" s="80"/>
      <c r="E139" s="77" t="s">
        <v>186</v>
      </c>
      <c r="F139" s="77" t="s">
        <v>105</v>
      </c>
      <c r="G139" s="77" t="s">
        <v>154</v>
      </c>
      <c r="H139" s="78">
        <v>4</v>
      </c>
      <c r="I139" s="149"/>
      <c r="J139" s="151"/>
      <c r="K139" s="147" t="str">
        <f t="shared" si="3"/>
        <v/>
      </c>
      <c r="L139" s="112" t="s">
        <v>155</v>
      </c>
      <c r="M139" s="113" t="s">
        <v>155</v>
      </c>
      <c r="N139" s="113">
        <v>51304</v>
      </c>
      <c r="O139" s="113" t="s">
        <v>51</v>
      </c>
    </row>
    <row r="140" spans="2:15" x14ac:dyDescent="0.25">
      <c r="B140" s="84" t="s">
        <v>346</v>
      </c>
      <c r="C140" s="129" t="s">
        <v>347</v>
      </c>
      <c r="D140" s="76" t="s">
        <v>348</v>
      </c>
      <c r="E140" s="77" t="s">
        <v>186</v>
      </c>
      <c r="F140" s="77" t="s">
        <v>105</v>
      </c>
      <c r="G140" s="77" t="s">
        <v>349</v>
      </c>
      <c r="H140" s="78">
        <v>1</v>
      </c>
      <c r="I140" s="149"/>
      <c r="J140" s="151"/>
      <c r="K140" s="147" t="str">
        <f t="shared" si="3"/>
        <v/>
      </c>
      <c r="L140" s="112" t="s">
        <v>350</v>
      </c>
      <c r="M140" s="113" t="s">
        <v>350</v>
      </c>
      <c r="N140" s="113">
        <v>59982</v>
      </c>
      <c r="O140" s="113" t="s">
        <v>51</v>
      </c>
    </row>
    <row r="141" spans="2:15" x14ac:dyDescent="0.25">
      <c r="B141" s="84" t="s">
        <v>359</v>
      </c>
      <c r="C141" s="129" t="s">
        <v>360</v>
      </c>
      <c r="D141" s="76" t="s">
        <v>330</v>
      </c>
      <c r="E141" s="77" t="s">
        <v>285</v>
      </c>
      <c r="F141" s="77" t="s">
        <v>105</v>
      </c>
      <c r="G141" s="77" t="s">
        <v>131</v>
      </c>
      <c r="H141" s="78">
        <v>1</v>
      </c>
      <c r="I141" s="149"/>
      <c r="J141" s="151"/>
      <c r="K141" s="147" t="str">
        <f t="shared" si="3"/>
        <v/>
      </c>
      <c r="L141" s="112" t="s">
        <v>132</v>
      </c>
      <c r="M141" s="113" t="s">
        <v>132</v>
      </c>
      <c r="N141" s="113">
        <v>51623</v>
      </c>
      <c r="O141" s="113" t="s">
        <v>51</v>
      </c>
    </row>
    <row r="142" spans="2:15" x14ac:dyDescent="0.25">
      <c r="B142" s="84" t="s">
        <v>359</v>
      </c>
      <c r="C142" s="129" t="s">
        <v>360</v>
      </c>
      <c r="D142" s="76" t="s">
        <v>330</v>
      </c>
      <c r="E142" s="77" t="s">
        <v>269</v>
      </c>
      <c r="F142" s="77" t="s">
        <v>105</v>
      </c>
      <c r="G142" s="77" t="s">
        <v>131</v>
      </c>
      <c r="H142" s="78">
        <v>1</v>
      </c>
      <c r="I142" s="149"/>
      <c r="J142" s="151"/>
      <c r="K142" s="147" t="str">
        <f t="shared" si="3"/>
        <v/>
      </c>
      <c r="L142" s="112" t="s">
        <v>132</v>
      </c>
      <c r="M142" s="113" t="s">
        <v>132</v>
      </c>
      <c r="N142" s="113">
        <v>52964</v>
      </c>
      <c r="O142" s="113" t="s">
        <v>51</v>
      </c>
    </row>
    <row r="143" spans="2:15" x14ac:dyDescent="0.25">
      <c r="B143" s="84" t="s">
        <v>361</v>
      </c>
      <c r="C143" s="129" t="s">
        <v>362</v>
      </c>
      <c r="D143" s="76" t="s">
        <v>363</v>
      </c>
      <c r="E143" s="77" t="s">
        <v>364</v>
      </c>
      <c r="F143" s="77" t="s">
        <v>105</v>
      </c>
      <c r="G143" s="77" t="s">
        <v>365</v>
      </c>
      <c r="H143" s="78">
        <v>2</v>
      </c>
      <c r="I143" s="149"/>
      <c r="J143" s="151"/>
      <c r="K143" s="147" t="str">
        <f t="shared" si="3"/>
        <v/>
      </c>
      <c r="L143" s="112" t="s">
        <v>366</v>
      </c>
      <c r="M143" s="113" t="s">
        <v>366</v>
      </c>
      <c r="N143" s="113">
        <v>54612</v>
      </c>
      <c r="O143" s="113" t="s">
        <v>51</v>
      </c>
    </row>
    <row r="144" spans="2:15" x14ac:dyDescent="0.25">
      <c r="B144" s="84" t="s">
        <v>367</v>
      </c>
      <c r="C144" s="129" t="s">
        <v>368</v>
      </c>
      <c r="D144" s="76" t="s">
        <v>363</v>
      </c>
      <c r="E144" s="77" t="s">
        <v>369</v>
      </c>
      <c r="F144" s="77" t="s">
        <v>105</v>
      </c>
      <c r="G144" s="77" t="s">
        <v>112</v>
      </c>
      <c r="H144" s="78">
        <v>1</v>
      </c>
      <c r="I144" s="149"/>
      <c r="J144" s="151"/>
      <c r="K144" s="147" t="str">
        <f t="shared" si="3"/>
        <v/>
      </c>
      <c r="L144" s="112" t="s">
        <v>113</v>
      </c>
      <c r="M144" s="113" t="s">
        <v>113</v>
      </c>
      <c r="N144" s="113">
        <v>53501</v>
      </c>
      <c r="O144" s="113" t="s">
        <v>51</v>
      </c>
    </row>
    <row r="145" spans="2:15" x14ac:dyDescent="0.25">
      <c r="B145" s="83" t="s">
        <v>55</v>
      </c>
      <c r="C145" s="130"/>
      <c r="D145" s="80"/>
      <c r="E145" s="81"/>
      <c r="F145" s="81"/>
      <c r="G145" s="81"/>
      <c r="H145" s="82"/>
      <c r="I145" s="149"/>
      <c r="J145" s="151"/>
      <c r="K145" s="147" t="str">
        <f t="shared" si="3"/>
        <v/>
      </c>
      <c r="L145" s="111"/>
      <c r="M145" s="89"/>
      <c r="O145" s="89"/>
    </row>
    <row r="146" spans="2:15" x14ac:dyDescent="0.25">
      <c r="B146" s="84" t="s">
        <v>370</v>
      </c>
      <c r="C146" s="129" t="s">
        <v>371</v>
      </c>
      <c r="D146" s="80"/>
      <c r="E146" s="77" t="s">
        <v>372</v>
      </c>
      <c r="F146" s="77" t="s">
        <v>105</v>
      </c>
      <c r="G146" s="77" t="s">
        <v>137</v>
      </c>
      <c r="H146" s="78">
        <v>8</v>
      </c>
      <c r="I146" s="149"/>
      <c r="J146" s="151"/>
      <c r="K146" s="147" t="str">
        <f t="shared" si="3"/>
        <v/>
      </c>
      <c r="L146" s="112" t="s">
        <v>138</v>
      </c>
      <c r="M146" s="113" t="s">
        <v>138</v>
      </c>
      <c r="N146" s="113">
        <v>50016</v>
      </c>
      <c r="O146" s="113" t="s">
        <v>55</v>
      </c>
    </row>
    <row r="147" spans="2:15" x14ac:dyDescent="0.25">
      <c r="B147" s="84" t="s">
        <v>370</v>
      </c>
      <c r="C147" s="129" t="s">
        <v>371</v>
      </c>
      <c r="D147" s="80"/>
      <c r="E147" s="77" t="s">
        <v>373</v>
      </c>
      <c r="F147" s="77" t="s">
        <v>105</v>
      </c>
      <c r="G147" s="77" t="s">
        <v>374</v>
      </c>
      <c r="H147" s="78">
        <v>6</v>
      </c>
      <c r="I147" s="149"/>
      <c r="J147" s="151"/>
      <c r="K147" s="147" t="str">
        <f t="shared" si="3"/>
        <v/>
      </c>
      <c r="L147" s="112" t="s">
        <v>375</v>
      </c>
      <c r="M147" s="113" t="s">
        <v>375</v>
      </c>
      <c r="N147" s="113">
        <v>51328</v>
      </c>
      <c r="O147" s="113" t="s">
        <v>55</v>
      </c>
    </row>
    <row r="148" spans="2:15" x14ac:dyDescent="0.25">
      <c r="B148" s="84" t="s">
        <v>370</v>
      </c>
      <c r="C148" s="129" t="s">
        <v>371</v>
      </c>
      <c r="D148" s="80"/>
      <c r="E148" s="77" t="s">
        <v>351</v>
      </c>
      <c r="F148" s="77" t="s">
        <v>105</v>
      </c>
      <c r="G148" s="77" t="s">
        <v>127</v>
      </c>
      <c r="H148" s="78">
        <v>6</v>
      </c>
      <c r="I148" s="149"/>
      <c r="J148" s="151"/>
      <c r="K148" s="147" t="str">
        <f t="shared" si="3"/>
        <v/>
      </c>
      <c r="L148" s="112" t="s">
        <v>128</v>
      </c>
      <c r="M148" s="113" t="s">
        <v>128</v>
      </c>
      <c r="N148" s="113">
        <v>52668</v>
      </c>
      <c r="O148" s="113" t="s">
        <v>55</v>
      </c>
    </row>
    <row r="149" spans="2:15" x14ac:dyDescent="0.25">
      <c r="B149" s="84" t="s">
        <v>370</v>
      </c>
      <c r="C149" s="129" t="s">
        <v>371</v>
      </c>
      <c r="D149" s="80"/>
      <c r="E149" s="77" t="s">
        <v>376</v>
      </c>
      <c r="F149" s="77" t="s">
        <v>105</v>
      </c>
      <c r="G149" s="77" t="s">
        <v>127</v>
      </c>
      <c r="H149" s="78">
        <v>8</v>
      </c>
      <c r="I149" s="149"/>
      <c r="J149" s="151"/>
      <c r="K149" s="147" t="str">
        <f t="shared" si="3"/>
        <v/>
      </c>
      <c r="L149" s="112" t="s">
        <v>128</v>
      </c>
      <c r="M149" s="113" t="s">
        <v>128</v>
      </c>
      <c r="N149" s="113">
        <v>53983</v>
      </c>
      <c r="O149" s="113" t="s">
        <v>55</v>
      </c>
    </row>
    <row r="150" spans="2:15" x14ac:dyDescent="0.25">
      <c r="B150" s="84" t="s">
        <v>377</v>
      </c>
      <c r="C150" s="129" t="s">
        <v>378</v>
      </c>
      <c r="D150" s="80"/>
      <c r="E150" s="77" t="s">
        <v>351</v>
      </c>
      <c r="F150" s="77" t="s">
        <v>105</v>
      </c>
      <c r="G150" s="77" t="s">
        <v>129</v>
      </c>
      <c r="H150" s="78">
        <v>3</v>
      </c>
      <c r="I150" s="149"/>
      <c r="J150" s="151"/>
      <c r="K150" s="147" t="str">
        <f t="shared" si="3"/>
        <v/>
      </c>
      <c r="L150" s="112" t="s">
        <v>130</v>
      </c>
      <c r="M150" s="113" t="s">
        <v>130</v>
      </c>
      <c r="N150" s="113">
        <v>52672</v>
      </c>
      <c r="O150" s="113" t="s">
        <v>55</v>
      </c>
    </row>
    <row r="151" spans="2:15" x14ac:dyDescent="0.25">
      <c r="B151" s="84" t="s">
        <v>377</v>
      </c>
      <c r="C151" s="129" t="s">
        <v>378</v>
      </c>
      <c r="D151" s="80"/>
      <c r="E151" s="77" t="s">
        <v>376</v>
      </c>
      <c r="F151" s="77" t="s">
        <v>105</v>
      </c>
      <c r="G151" s="77" t="s">
        <v>129</v>
      </c>
      <c r="H151" s="78">
        <v>1</v>
      </c>
      <c r="I151" s="149"/>
      <c r="J151" s="151"/>
      <c r="K151" s="147" t="str">
        <f t="shared" si="3"/>
        <v/>
      </c>
      <c r="L151" s="112" t="s">
        <v>130</v>
      </c>
      <c r="M151" s="113" t="s">
        <v>130</v>
      </c>
      <c r="N151" s="113">
        <v>53987</v>
      </c>
      <c r="O151" s="113" t="s">
        <v>55</v>
      </c>
    </row>
    <row r="152" spans="2:15" x14ac:dyDescent="0.25">
      <c r="B152" s="84" t="s">
        <v>379</v>
      </c>
      <c r="C152" s="129" t="s">
        <v>380</v>
      </c>
      <c r="D152" s="80"/>
      <c r="E152" s="77" t="s">
        <v>187</v>
      </c>
      <c r="F152" s="77" t="s">
        <v>105</v>
      </c>
      <c r="G152" s="77" t="s">
        <v>156</v>
      </c>
      <c r="H152" s="78">
        <v>3</v>
      </c>
      <c r="I152" s="149"/>
      <c r="J152" s="151"/>
      <c r="K152" s="147" t="str">
        <f t="shared" si="3"/>
        <v/>
      </c>
      <c r="L152" s="112" t="s">
        <v>157</v>
      </c>
      <c r="M152" s="113" t="s">
        <v>157</v>
      </c>
      <c r="N152" s="113">
        <v>50026</v>
      </c>
      <c r="O152" s="113" t="s">
        <v>55</v>
      </c>
    </row>
    <row r="153" spans="2:15" x14ac:dyDescent="0.25">
      <c r="B153" s="84" t="s">
        <v>379</v>
      </c>
      <c r="C153" s="129" t="s">
        <v>380</v>
      </c>
      <c r="D153" s="80"/>
      <c r="E153" s="77" t="s">
        <v>288</v>
      </c>
      <c r="F153" s="77" t="s">
        <v>105</v>
      </c>
      <c r="G153" s="77" t="s">
        <v>337</v>
      </c>
      <c r="H153" s="78">
        <v>2</v>
      </c>
      <c r="I153" s="149"/>
      <c r="J153" s="151"/>
      <c r="K153" s="147" t="str">
        <f t="shared" si="3"/>
        <v/>
      </c>
      <c r="L153" s="112" t="s">
        <v>338</v>
      </c>
      <c r="M153" s="113" t="s">
        <v>338</v>
      </c>
      <c r="N153" s="113">
        <v>52678</v>
      </c>
      <c r="O153" s="113" t="s">
        <v>55</v>
      </c>
    </row>
    <row r="154" spans="2:15" x14ac:dyDescent="0.25">
      <c r="B154" s="84" t="s">
        <v>381</v>
      </c>
      <c r="C154" s="129" t="s">
        <v>382</v>
      </c>
      <c r="D154" s="80"/>
      <c r="E154" s="77" t="s">
        <v>206</v>
      </c>
      <c r="F154" s="77" t="s">
        <v>105</v>
      </c>
      <c r="G154" s="77" t="s">
        <v>156</v>
      </c>
      <c r="H154" s="78">
        <v>20</v>
      </c>
      <c r="I154" s="149"/>
      <c r="J154" s="151"/>
      <c r="K154" s="147" t="str">
        <f t="shared" si="3"/>
        <v/>
      </c>
      <c r="L154" s="112" t="s">
        <v>157</v>
      </c>
      <c r="M154" s="113" t="s">
        <v>157</v>
      </c>
      <c r="N154" s="113">
        <v>51339</v>
      </c>
      <c r="O154" s="113" t="s">
        <v>55</v>
      </c>
    </row>
    <row r="155" spans="2:15" x14ac:dyDescent="0.25">
      <c r="B155" s="84" t="s">
        <v>381</v>
      </c>
      <c r="C155" s="129" t="s">
        <v>382</v>
      </c>
      <c r="D155" s="80"/>
      <c r="E155" s="77" t="s">
        <v>288</v>
      </c>
      <c r="F155" s="77" t="s">
        <v>105</v>
      </c>
      <c r="G155" s="77" t="s">
        <v>127</v>
      </c>
      <c r="H155" s="78">
        <v>20</v>
      </c>
      <c r="I155" s="149"/>
      <c r="J155" s="151"/>
      <c r="K155" s="147" t="str">
        <f t="shared" si="3"/>
        <v/>
      </c>
      <c r="L155" s="112" t="s">
        <v>128</v>
      </c>
      <c r="M155" s="113" t="s">
        <v>128</v>
      </c>
      <c r="N155" s="113">
        <v>52679</v>
      </c>
      <c r="O155" s="113" t="s">
        <v>55</v>
      </c>
    </row>
    <row r="156" spans="2:15" x14ac:dyDescent="0.25">
      <c r="B156" s="84" t="s">
        <v>383</v>
      </c>
      <c r="C156" s="129" t="s">
        <v>384</v>
      </c>
      <c r="D156" s="80"/>
      <c r="E156" s="77" t="s">
        <v>187</v>
      </c>
      <c r="F156" s="77" t="s">
        <v>105</v>
      </c>
      <c r="G156" s="77" t="s">
        <v>154</v>
      </c>
      <c r="H156" s="78">
        <v>5</v>
      </c>
      <c r="I156" s="149"/>
      <c r="J156" s="151"/>
      <c r="K156" s="147" t="str">
        <f t="shared" si="3"/>
        <v/>
      </c>
      <c r="L156" s="112" t="s">
        <v>155</v>
      </c>
      <c r="M156" s="113" t="s">
        <v>155</v>
      </c>
      <c r="N156" s="113">
        <v>50032</v>
      </c>
      <c r="O156" s="113" t="s">
        <v>55</v>
      </c>
    </row>
    <row r="157" spans="2:15" x14ac:dyDescent="0.25">
      <c r="B157" s="84" t="s">
        <v>383</v>
      </c>
      <c r="C157" s="129" t="s">
        <v>384</v>
      </c>
      <c r="D157" s="80"/>
      <c r="E157" s="77" t="s">
        <v>206</v>
      </c>
      <c r="F157" s="77" t="s">
        <v>105</v>
      </c>
      <c r="G157" s="77" t="s">
        <v>156</v>
      </c>
      <c r="H157" s="78">
        <v>25</v>
      </c>
      <c r="I157" s="149"/>
      <c r="J157" s="151"/>
      <c r="K157" s="147" t="str">
        <f t="shared" si="3"/>
        <v/>
      </c>
      <c r="L157" s="112" t="s">
        <v>157</v>
      </c>
      <c r="M157" s="113" t="s">
        <v>157</v>
      </c>
      <c r="N157" s="113">
        <v>51344</v>
      </c>
      <c r="O157" s="113" t="s">
        <v>55</v>
      </c>
    </row>
    <row r="158" spans="2:15" x14ac:dyDescent="0.25">
      <c r="B158" s="84" t="s">
        <v>385</v>
      </c>
      <c r="C158" s="129" t="s">
        <v>386</v>
      </c>
      <c r="D158" s="80"/>
      <c r="E158" s="77" t="s">
        <v>185</v>
      </c>
      <c r="F158" s="77" t="s">
        <v>105</v>
      </c>
      <c r="G158" s="77" t="s">
        <v>156</v>
      </c>
      <c r="H158" s="78">
        <v>5</v>
      </c>
      <c r="I158" s="149"/>
      <c r="J158" s="151"/>
      <c r="K158" s="147" t="str">
        <f t="shared" si="3"/>
        <v/>
      </c>
      <c r="L158" s="112" t="s">
        <v>157</v>
      </c>
      <c r="M158" s="113" t="s">
        <v>157</v>
      </c>
      <c r="N158" s="113">
        <v>50036</v>
      </c>
      <c r="O158" s="113" t="s">
        <v>55</v>
      </c>
    </row>
    <row r="159" spans="2:15" x14ac:dyDescent="0.25">
      <c r="B159" s="84" t="s">
        <v>385</v>
      </c>
      <c r="C159" s="129" t="s">
        <v>386</v>
      </c>
      <c r="D159" s="80"/>
      <c r="E159" s="77" t="s">
        <v>387</v>
      </c>
      <c r="F159" s="77" t="s">
        <v>105</v>
      </c>
      <c r="G159" s="77" t="s">
        <v>337</v>
      </c>
      <c r="H159" s="78">
        <v>15</v>
      </c>
      <c r="I159" s="149"/>
      <c r="J159" s="151"/>
      <c r="K159" s="147" t="str">
        <f t="shared" si="3"/>
        <v/>
      </c>
      <c r="L159" s="112" t="s">
        <v>338</v>
      </c>
      <c r="M159" s="113" t="s">
        <v>338</v>
      </c>
      <c r="N159" s="113">
        <v>52688</v>
      </c>
      <c r="O159" s="113" t="s">
        <v>55</v>
      </c>
    </row>
    <row r="160" spans="2:15" x14ac:dyDescent="0.25">
      <c r="B160" s="84" t="s">
        <v>388</v>
      </c>
      <c r="C160" s="129" t="s">
        <v>389</v>
      </c>
      <c r="D160" s="80"/>
      <c r="E160" s="77" t="s">
        <v>191</v>
      </c>
      <c r="F160" s="77" t="s">
        <v>105</v>
      </c>
      <c r="G160" s="77" t="s">
        <v>122</v>
      </c>
      <c r="H160" s="78">
        <v>8</v>
      </c>
      <c r="I160" s="149"/>
      <c r="J160" s="151"/>
      <c r="K160" s="147" t="str">
        <f t="shared" si="3"/>
        <v/>
      </c>
      <c r="L160" s="112" t="s">
        <v>123</v>
      </c>
      <c r="M160" s="113" t="s">
        <v>123</v>
      </c>
      <c r="N160" s="113">
        <v>54010</v>
      </c>
      <c r="O160" s="113" t="s">
        <v>55</v>
      </c>
    </row>
    <row r="161" spans="2:15" x14ac:dyDescent="0.25">
      <c r="B161" s="84" t="s">
        <v>392</v>
      </c>
      <c r="C161" s="129" t="s">
        <v>393</v>
      </c>
      <c r="D161" s="80"/>
      <c r="E161" s="77" t="s">
        <v>373</v>
      </c>
      <c r="F161" s="77" t="s">
        <v>105</v>
      </c>
      <c r="G161" s="77" t="s">
        <v>127</v>
      </c>
      <c r="H161" s="78">
        <v>3</v>
      </c>
      <c r="I161" s="149"/>
      <c r="J161" s="151"/>
      <c r="K161" s="147" t="str">
        <f t="shared" si="3"/>
        <v/>
      </c>
      <c r="L161" s="112" t="s">
        <v>128</v>
      </c>
      <c r="M161" s="113" t="s">
        <v>128</v>
      </c>
      <c r="N161" s="113">
        <v>51356</v>
      </c>
      <c r="O161" s="113" t="s">
        <v>55</v>
      </c>
    </row>
    <row r="162" spans="2:15" x14ac:dyDescent="0.25">
      <c r="B162" s="84" t="s">
        <v>394</v>
      </c>
      <c r="C162" s="129" t="s">
        <v>395</v>
      </c>
      <c r="D162" s="80"/>
      <c r="E162" s="77" t="s">
        <v>396</v>
      </c>
      <c r="F162" s="77" t="s">
        <v>105</v>
      </c>
      <c r="G162" s="77" t="s">
        <v>127</v>
      </c>
      <c r="H162" s="78">
        <v>5</v>
      </c>
      <c r="I162" s="149"/>
      <c r="J162" s="151"/>
      <c r="K162" s="147" t="str">
        <f t="shared" si="3"/>
        <v/>
      </c>
      <c r="L162" s="112" t="s">
        <v>128</v>
      </c>
      <c r="M162" s="113" t="s">
        <v>128</v>
      </c>
      <c r="N162" s="113">
        <v>52715</v>
      </c>
      <c r="O162" s="113" t="s">
        <v>55</v>
      </c>
    </row>
    <row r="163" spans="2:15" x14ac:dyDescent="0.25">
      <c r="B163" s="84" t="s">
        <v>394</v>
      </c>
      <c r="C163" s="129" t="s">
        <v>395</v>
      </c>
      <c r="D163" s="80"/>
      <c r="E163" s="77" t="s">
        <v>397</v>
      </c>
      <c r="F163" s="77" t="s">
        <v>105</v>
      </c>
      <c r="G163" s="77" t="s">
        <v>337</v>
      </c>
      <c r="H163" s="78">
        <v>5</v>
      </c>
      <c r="I163" s="149"/>
      <c r="J163" s="151"/>
      <c r="K163" s="147" t="str">
        <f t="shared" si="3"/>
        <v/>
      </c>
      <c r="L163" s="112" t="s">
        <v>338</v>
      </c>
      <c r="M163" s="113" t="s">
        <v>338</v>
      </c>
      <c r="N163" s="113">
        <v>54027</v>
      </c>
      <c r="O163" s="113" t="s">
        <v>55</v>
      </c>
    </row>
    <row r="164" spans="2:15" x14ac:dyDescent="0.25">
      <c r="B164" s="84" t="s">
        <v>398</v>
      </c>
      <c r="C164" s="129" t="s">
        <v>399</v>
      </c>
      <c r="D164" s="80"/>
      <c r="E164" s="77" t="s">
        <v>373</v>
      </c>
      <c r="F164" s="77" t="s">
        <v>105</v>
      </c>
      <c r="G164" s="77" t="s">
        <v>156</v>
      </c>
      <c r="H164" s="78">
        <v>7</v>
      </c>
      <c r="I164" s="149"/>
      <c r="J164" s="151"/>
      <c r="K164" s="147" t="str">
        <f t="shared" si="3"/>
        <v/>
      </c>
      <c r="L164" s="112" t="s">
        <v>157</v>
      </c>
      <c r="M164" s="113" t="s">
        <v>157</v>
      </c>
      <c r="N164" s="113">
        <v>51604</v>
      </c>
      <c r="O164" s="113" t="s">
        <v>55</v>
      </c>
    </row>
    <row r="165" spans="2:15" x14ac:dyDescent="0.25">
      <c r="B165" s="84" t="s">
        <v>400</v>
      </c>
      <c r="C165" s="129" t="s">
        <v>401</v>
      </c>
      <c r="D165" s="80"/>
      <c r="E165" s="77" t="s">
        <v>376</v>
      </c>
      <c r="F165" s="77" t="s">
        <v>105</v>
      </c>
      <c r="G165" s="77" t="s">
        <v>355</v>
      </c>
      <c r="H165" s="78">
        <v>4</v>
      </c>
      <c r="I165" s="149"/>
      <c r="J165" s="151"/>
      <c r="K165" s="147" t="str">
        <f t="shared" si="3"/>
        <v/>
      </c>
      <c r="L165" s="112" t="s">
        <v>356</v>
      </c>
      <c r="M165" s="113" t="s">
        <v>356</v>
      </c>
      <c r="N165" s="113">
        <v>54302</v>
      </c>
      <c r="O165" s="113" t="s">
        <v>55</v>
      </c>
    </row>
    <row r="166" spans="2:15" x14ac:dyDescent="0.25">
      <c r="B166" s="84" t="s">
        <v>402</v>
      </c>
      <c r="C166" s="129" t="s">
        <v>403</v>
      </c>
      <c r="D166" s="80"/>
      <c r="E166" s="77" t="s">
        <v>369</v>
      </c>
      <c r="F166" s="77" t="s">
        <v>105</v>
      </c>
      <c r="G166" s="77" t="s">
        <v>106</v>
      </c>
      <c r="H166" s="78">
        <v>1</v>
      </c>
      <c r="I166" s="149"/>
      <c r="J166" s="151"/>
      <c r="K166" s="147" t="str">
        <f t="shared" si="3"/>
        <v/>
      </c>
      <c r="L166" s="112" t="s">
        <v>107</v>
      </c>
      <c r="M166" s="113" t="s">
        <v>107</v>
      </c>
      <c r="N166" s="113">
        <v>53041</v>
      </c>
      <c r="O166" s="113" t="s">
        <v>55</v>
      </c>
    </row>
    <row r="167" spans="2:15" x14ac:dyDescent="0.25">
      <c r="B167" s="83" t="s">
        <v>66</v>
      </c>
      <c r="C167" s="130"/>
      <c r="D167" s="80"/>
      <c r="E167" s="81"/>
      <c r="F167" s="81"/>
      <c r="G167" s="81"/>
      <c r="H167" s="82"/>
      <c r="I167" s="149"/>
      <c r="J167" s="151"/>
      <c r="K167" s="147" t="str">
        <f t="shared" ref="K167:K209" si="4">IF(ISNUMBER(I167),I167 * L167,"")</f>
        <v/>
      </c>
      <c r="L167" s="111"/>
      <c r="M167" s="89"/>
      <c r="O167" s="89"/>
    </row>
    <row r="168" spans="2:15" x14ac:dyDescent="0.25">
      <c r="B168" s="84" t="s">
        <v>405</v>
      </c>
      <c r="C168" s="129" t="s">
        <v>406</v>
      </c>
      <c r="D168" s="76" t="s">
        <v>363</v>
      </c>
      <c r="E168" s="77" t="s">
        <v>351</v>
      </c>
      <c r="F168" s="77" t="s">
        <v>105</v>
      </c>
      <c r="G168" s="77" t="s">
        <v>337</v>
      </c>
      <c r="H168" s="78">
        <v>4</v>
      </c>
      <c r="I168" s="149"/>
      <c r="J168" s="151"/>
      <c r="K168" s="147" t="str">
        <f t="shared" si="4"/>
        <v/>
      </c>
      <c r="L168" s="112" t="s">
        <v>338</v>
      </c>
      <c r="M168" s="113" t="s">
        <v>338</v>
      </c>
      <c r="N168" s="113">
        <v>52584</v>
      </c>
      <c r="O168" s="113" t="s">
        <v>66</v>
      </c>
    </row>
    <row r="169" spans="2:15" x14ac:dyDescent="0.25">
      <c r="B169" s="84" t="s">
        <v>407</v>
      </c>
      <c r="C169" s="129" t="s">
        <v>408</v>
      </c>
      <c r="D169" s="76" t="s">
        <v>363</v>
      </c>
      <c r="E169" s="77" t="s">
        <v>409</v>
      </c>
      <c r="F169" s="77" t="s">
        <v>105</v>
      </c>
      <c r="G169" s="77" t="s">
        <v>129</v>
      </c>
      <c r="H169" s="78">
        <v>1</v>
      </c>
      <c r="I169" s="149"/>
      <c r="J169" s="151"/>
      <c r="K169" s="147" t="str">
        <f t="shared" si="4"/>
        <v/>
      </c>
      <c r="L169" s="112" t="s">
        <v>130</v>
      </c>
      <c r="M169" s="113" t="s">
        <v>130</v>
      </c>
      <c r="N169" s="113">
        <v>52587</v>
      </c>
      <c r="O169" s="113" t="s">
        <v>66</v>
      </c>
    </row>
    <row r="170" spans="2:15" x14ac:dyDescent="0.25">
      <c r="B170" s="84" t="s">
        <v>410</v>
      </c>
      <c r="C170" s="129" t="s">
        <v>411</v>
      </c>
      <c r="D170" s="80"/>
      <c r="E170" s="77" t="s">
        <v>187</v>
      </c>
      <c r="F170" s="77" t="s">
        <v>105</v>
      </c>
      <c r="G170" s="77" t="s">
        <v>129</v>
      </c>
      <c r="H170" s="78">
        <v>1</v>
      </c>
      <c r="I170" s="149"/>
      <c r="J170" s="151"/>
      <c r="K170" s="147" t="str">
        <f t="shared" si="4"/>
        <v/>
      </c>
      <c r="L170" s="112" t="s">
        <v>130</v>
      </c>
      <c r="M170" s="113" t="s">
        <v>130</v>
      </c>
      <c r="N170" s="113">
        <v>50072</v>
      </c>
      <c r="O170" s="113" t="s">
        <v>66</v>
      </c>
    </row>
    <row r="171" spans="2:15" x14ac:dyDescent="0.25">
      <c r="B171" s="84" t="s">
        <v>410</v>
      </c>
      <c r="C171" s="129" t="s">
        <v>411</v>
      </c>
      <c r="D171" s="80"/>
      <c r="E171" s="77" t="s">
        <v>225</v>
      </c>
      <c r="F171" s="77" t="s">
        <v>105</v>
      </c>
      <c r="G171" s="77" t="s">
        <v>129</v>
      </c>
      <c r="H171" s="78">
        <v>1</v>
      </c>
      <c r="I171" s="149"/>
      <c r="J171" s="151"/>
      <c r="K171" s="147" t="str">
        <f t="shared" si="4"/>
        <v/>
      </c>
      <c r="L171" s="112" t="s">
        <v>130</v>
      </c>
      <c r="M171" s="113" t="s">
        <v>130</v>
      </c>
      <c r="N171" s="113">
        <v>51387</v>
      </c>
      <c r="O171" s="113" t="s">
        <v>66</v>
      </c>
    </row>
    <row r="172" spans="2:15" x14ac:dyDescent="0.25">
      <c r="B172" s="84" t="s">
        <v>410</v>
      </c>
      <c r="C172" s="129" t="s">
        <v>411</v>
      </c>
      <c r="D172" s="80"/>
      <c r="E172" s="77" t="s">
        <v>430</v>
      </c>
      <c r="F172" s="77" t="s">
        <v>105</v>
      </c>
      <c r="G172" s="77" t="s">
        <v>129</v>
      </c>
      <c r="H172" s="78">
        <v>25</v>
      </c>
      <c r="I172" s="149"/>
      <c r="J172" s="151"/>
      <c r="K172" s="147" t="str">
        <f t="shared" si="4"/>
        <v/>
      </c>
      <c r="L172" s="112" t="s">
        <v>130</v>
      </c>
      <c r="M172" s="113" t="s">
        <v>130</v>
      </c>
      <c r="N172" s="113">
        <v>54035</v>
      </c>
      <c r="O172" s="113" t="s">
        <v>66</v>
      </c>
    </row>
    <row r="173" spans="2:15" x14ac:dyDescent="0.25">
      <c r="B173" s="84" t="s">
        <v>412</v>
      </c>
      <c r="C173" s="129" t="s">
        <v>413</v>
      </c>
      <c r="D173" s="76" t="s">
        <v>291</v>
      </c>
      <c r="E173" s="77" t="s">
        <v>414</v>
      </c>
      <c r="F173" s="77" t="s">
        <v>105</v>
      </c>
      <c r="G173" s="77" t="s">
        <v>131</v>
      </c>
      <c r="H173" s="78">
        <v>5</v>
      </c>
      <c r="I173" s="149"/>
      <c r="J173" s="151"/>
      <c r="K173" s="147" t="str">
        <f t="shared" si="4"/>
        <v/>
      </c>
      <c r="L173" s="112" t="s">
        <v>132</v>
      </c>
      <c r="M173" s="113" t="s">
        <v>132</v>
      </c>
      <c r="N173" s="113">
        <v>58354</v>
      </c>
      <c r="O173" s="113" t="s">
        <v>66</v>
      </c>
    </row>
    <row r="174" spans="2:15" x14ac:dyDescent="0.25">
      <c r="B174" s="84" t="s">
        <v>415</v>
      </c>
      <c r="C174" s="129" t="s">
        <v>416</v>
      </c>
      <c r="D174" s="80"/>
      <c r="E174" s="77" t="s">
        <v>417</v>
      </c>
      <c r="F174" s="77" t="s">
        <v>105</v>
      </c>
      <c r="G174" s="77" t="s">
        <v>154</v>
      </c>
      <c r="H174" s="78">
        <v>2</v>
      </c>
      <c r="I174" s="149"/>
      <c r="J174" s="151"/>
      <c r="K174" s="147" t="str">
        <f t="shared" si="4"/>
        <v/>
      </c>
      <c r="L174" s="112" t="s">
        <v>155</v>
      </c>
      <c r="M174" s="113" t="s">
        <v>155</v>
      </c>
      <c r="N174" s="113">
        <v>54068</v>
      </c>
      <c r="O174" s="113" t="s">
        <v>66</v>
      </c>
    </row>
    <row r="175" spans="2:15" x14ac:dyDescent="0.25">
      <c r="B175" s="84" t="s">
        <v>418</v>
      </c>
      <c r="C175" s="129" t="s">
        <v>419</v>
      </c>
      <c r="D175" s="80"/>
      <c r="E175" s="77" t="s">
        <v>420</v>
      </c>
      <c r="F175" s="77" t="s">
        <v>105</v>
      </c>
      <c r="G175" s="77" t="s">
        <v>122</v>
      </c>
      <c r="H175" s="78">
        <v>15</v>
      </c>
      <c r="I175" s="149"/>
      <c r="J175" s="151"/>
      <c r="K175" s="147" t="str">
        <f t="shared" si="4"/>
        <v/>
      </c>
      <c r="L175" s="112" t="s">
        <v>123</v>
      </c>
      <c r="M175" s="113" t="s">
        <v>123</v>
      </c>
      <c r="N175" s="113">
        <v>52764</v>
      </c>
      <c r="O175" s="113" t="s">
        <v>66</v>
      </c>
    </row>
    <row r="176" spans="2:15" x14ac:dyDescent="0.25">
      <c r="B176" s="84" t="s">
        <v>421</v>
      </c>
      <c r="C176" s="129" t="s">
        <v>422</v>
      </c>
      <c r="D176" s="76" t="s">
        <v>363</v>
      </c>
      <c r="E176" s="77" t="s">
        <v>423</v>
      </c>
      <c r="F176" s="77" t="s">
        <v>105</v>
      </c>
      <c r="G176" s="77" t="s">
        <v>122</v>
      </c>
      <c r="H176" s="78">
        <v>3</v>
      </c>
      <c r="I176" s="149"/>
      <c r="J176" s="151"/>
      <c r="K176" s="147" t="str">
        <f t="shared" si="4"/>
        <v/>
      </c>
      <c r="L176" s="112" t="s">
        <v>123</v>
      </c>
      <c r="M176" s="113" t="s">
        <v>123</v>
      </c>
      <c r="N176" s="113">
        <v>50134</v>
      </c>
      <c r="O176" s="113" t="s">
        <v>66</v>
      </c>
    </row>
    <row r="177" spans="2:15" x14ac:dyDescent="0.25">
      <c r="B177" s="84" t="s">
        <v>421</v>
      </c>
      <c r="C177" s="129" t="s">
        <v>422</v>
      </c>
      <c r="D177" s="76" t="s">
        <v>424</v>
      </c>
      <c r="E177" s="77" t="s">
        <v>174</v>
      </c>
      <c r="F177" s="77" t="s">
        <v>105</v>
      </c>
      <c r="G177" s="77" t="s">
        <v>127</v>
      </c>
      <c r="H177" s="78">
        <v>2</v>
      </c>
      <c r="I177" s="149"/>
      <c r="J177" s="151"/>
      <c r="K177" s="147" t="str">
        <f t="shared" si="4"/>
        <v/>
      </c>
      <c r="L177" s="112" t="s">
        <v>128</v>
      </c>
      <c r="M177" s="113" t="s">
        <v>128</v>
      </c>
      <c r="N177" s="113">
        <v>50135</v>
      </c>
      <c r="O177" s="113" t="s">
        <v>66</v>
      </c>
    </row>
    <row r="178" spans="2:15" x14ac:dyDescent="0.25">
      <c r="B178" s="84" t="s">
        <v>421</v>
      </c>
      <c r="C178" s="129" t="s">
        <v>422</v>
      </c>
      <c r="D178" s="76" t="s">
        <v>424</v>
      </c>
      <c r="E178" s="77" t="s">
        <v>269</v>
      </c>
      <c r="F178" s="77" t="s">
        <v>105</v>
      </c>
      <c r="G178" s="77" t="s">
        <v>127</v>
      </c>
      <c r="H178" s="78">
        <v>1</v>
      </c>
      <c r="I178" s="149"/>
      <c r="J178" s="151"/>
      <c r="K178" s="147" t="str">
        <f t="shared" si="4"/>
        <v/>
      </c>
      <c r="L178" s="112" t="s">
        <v>128</v>
      </c>
      <c r="M178" s="113" t="s">
        <v>128</v>
      </c>
      <c r="N178" s="113">
        <v>52792</v>
      </c>
      <c r="O178" s="113" t="s">
        <v>66</v>
      </c>
    </row>
    <row r="179" spans="2:15" x14ac:dyDescent="0.25">
      <c r="B179" s="84" t="s">
        <v>425</v>
      </c>
      <c r="C179" s="129" t="s">
        <v>426</v>
      </c>
      <c r="D179" s="76" t="s">
        <v>404</v>
      </c>
      <c r="E179" s="77" t="s">
        <v>427</v>
      </c>
      <c r="F179" s="77" t="s">
        <v>105</v>
      </c>
      <c r="G179" s="77" t="s">
        <v>120</v>
      </c>
      <c r="H179" s="78">
        <v>1</v>
      </c>
      <c r="I179" s="149"/>
      <c r="J179" s="151"/>
      <c r="K179" s="147" t="str">
        <f t="shared" si="4"/>
        <v/>
      </c>
      <c r="L179" s="112" t="s">
        <v>121</v>
      </c>
      <c r="M179" s="113" t="s">
        <v>121</v>
      </c>
      <c r="N179" s="113">
        <v>51554</v>
      </c>
      <c r="O179" s="113" t="s">
        <v>66</v>
      </c>
    </row>
    <row r="180" spans="2:15" x14ac:dyDescent="0.25">
      <c r="B180" s="84" t="s">
        <v>428</v>
      </c>
      <c r="C180" s="129" t="s">
        <v>429</v>
      </c>
      <c r="D180" s="76" t="s">
        <v>330</v>
      </c>
      <c r="E180" s="77" t="s">
        <v>222</v>
      </c>
      <c r="F180" s="77" t="s">
        <v>105</v>
      </c>
      <c r="G180" s="77" t="s">
        <v>118</v>
      </c>
      <c r="H180" s="78">
        <v>12</v>
      </c>
      <c r="I180" s="149"/>
      <c r="J180" s="151"/>
      <c r="K180" s="147" t="str">
        <f t="shared" si="4"/>
        <v/>
      </c>
      <c r="L180" s="112" t="s">
        <v>119</v>
      </c>
      <c r="M180" s="113" t="s">
        <v>119</v>
      </c>
      <c r="N180" s="113">
        <v>50315</v>
      </c>
      <c r="O180" s="113" t="s">
        <v>66</v>
      </c>
    </row>
    <row r="181" spans="2:15" x14ac:dyDescent="0.25">
      <c r="B181" s="84" t="s">
        <v>428</v>
      </c>
      <c r="C181" s="129" t="s">
        <v>429</v>
      </c>
      <c r="D181" s="76" t="s">
        <v>330</v>
      </c>
      <c r="E181" s="77" t="s">
        <v>225</v>
      </c>
      <c r="F181" s="77" t="s">
        <v>105</v>
      </c>
      <c r="G181" s="77" t="s">
        <v>154</v>
      </c>
      <c r="H181" s="78">
        <v>21</v>
      </c>
      <c r="I181" s="149"/>
      <c r="J181" s="151"/>
      <c r="K181" s="147" t="str">
        <f t="shared" si="4"/>
        <v/>
      </c>
      <c r="L181" s="112" t="s">
        <v>155</v>
      </c>
      <c r="M181" s="113" t="s">
        <v>155</v>
      </c>
      <c r="N181" s="113">
        <v>51638</v>
      </c>
      <c r="O181" s="113" t="s">
        <v>66</v>
      </c>
    </row>
    <row r="182" spans="2:15" x14ac:dyDescent="0.25">
      <c r="B182" s="84" t="s">
        <v>428</v>
      </c>
      <c r="C182" s="129" t="s">
        <v>429</v>
      </c>
      <c r="D182" s="76" t="s">
        <v>330</v>
      </c>
      <c r="E182" s="77" t="s">
        <v>430</v>
      </c>
      <c r="F182" s="77" t="s">
        <v>105</v>
      </c>
      <c r="G182" s="77" t="s">
        <v>156</v>
      </c>
      <c r="H182" s="78">
        <v>3</v>
      </c>
      <c r="I182" s="149"/>
      <c r="J182" s="151"/>
      <c r="K182" s="147" t="str">
        <f t="shared" si="4"/>
        <v/>
      </c>
      <c r="L182" s="112" t="s">
        <v>157</v>
      </c>
      <c r="M182" s="113" t="s">
        <v>157</v>
      </c>
      <c r="N182" s="113">
        <v>52981</v>
      </c>
      <c r="O182" s="113" t="s">
        <v>66</v>
      </c>
    </row>
    <row r="183" spans="2:15" x14ac:dyDescent="0.25">
      <c r="B183" s="84" t="s">
        <v>431</v>
      </c>
      <c r="C183" s="129" t="s">
        <v>432</v>
      </c>
      <c r="D183" s="80"/>
      <c r="E183" s="77" t="s">
        <v>187</v>
      </c>
      <c r="F183" s="77" t="s">
        <v>105</v>
      </c>
      <c r="G183" s="77" t="s">
        <v>144</v>
      </c>
      <c r="H183" s="78">
        <v>10</v>
      </c>
      <c r="I183" s="149"/>
      <c r="J183" s="151"/>
      <c r="K183" s="147" t="str">
        <f t="shared" si="4"/>
        <v/>
      </c>
      <c r="L183" s="112" t="s">
        <v>145</v>
      </c>
      <c r="M183" s="113" t="s">
        <v>145</v>
      </c>
      <c r="N183" s="113">
        <v>50336</v>
      </c>
      <c r="O183" s="113" t="s">
        <v>66</v>
      </c>
    </row>
    <row r="184" spans="2:15" x14ac:dyDescent="0.25">
      <c r="B184" s="84" t="s">
        <v>431</v>
      </c>
      <c r="C184" s="129" t="s">
        <v>432</v>
      </c>
      <c r="D184" s="80"/>
      <c r="E184" s="77" t="s">
        <v>266</v>
      </c>
      <c r="F184" s="77" t="s">
        <v>105</v>
      </c>
      <c r="G184" s="77" t="s">
        <v>162</v>
      </c>
      <c r="H184" s="78">
        <v>5</v>
      </c>
      <c r="I184" s="149"/>
      <c r="J184" s="151"/>
      <c r="K184" s="147" t="str">
        <f t="shared" si="4"/>
        <v/>
      </c>
      <c r="L184" s="112" t="s">
        <v>163</v>
      </c>
      <c r="M184" s="113" t="s">
        <v>163</v>
      </c>
      <c r="N184" s="113">
        <v>51660</v>
      </c>
      <c r="O184" s="113" t="s">
        <v>66</v>
      </c>
    </row>
    <row r="185" spans="2:15" x14ac:dyDescent="0.25">
      <c r="B185" s="84" t="s">
        <v>431</v>
      </c>
      <c r="C185" s="129" t="s">
        <v>432</v>
      </c>
      <c r="D185" s="80"/>
      <c r="E185" s="77" t="s">
        <v>190</v>
      </c>
      <c r="F185" s="77" t="s">
        <v>105</v>
      </c>
      <c r="G185" s="77" t="s">
        <v>154</v>
      </c>
      <c r="H185" s="78">
        <v>5</v>
      </c>
      <c r="I185" s="149"/>
      <c r="J185" s="151"/>
      <c r="K185" s="147" t="str">
        <f t="shared" si="4"/>
        <v/>
      </c>
      <c r="L185" s="112" t="s">
        <v>155</v>
      </c>
      <c r="M185" s="113" t="s">
        <v>155</v>
      </c>
      <c r="N185" s="113">
        <v>53003</v>
      </c>
      <c r="O185" s="113" t="s">
        <v>66</v>
      </c>
    </row>
    <row r="186" spans="2:15" x14ac:dyDescent="0.25">
      <c r="B186" s="84" t="s">
        <v>434</v>
      </c>
      <c r="C186" s="129" t="s">
        <v>435</v>
      </c>
      <c r="D186" s="76" t="s">
        <v>330</v>
      </c>
      <c r="E186" s="77" t="s">
        <v>285</v>
      </c>
      <c r="F186" s="77" t="s">
        <v>105</v>
      </c>
      <c r="G186" s="77" t="s">
        <v>135</v>
      </c>
      <c r="H186" s="78">
        <v>15</v>
      </c>
      <c r="I186" s="149"/>
      <c r="J186" s="151"/>
      <c r="K186" s="147" t="str">
        <f t="shared" si="4"/>
        <v/>
      </c>
      <c r="L186" s="112" t="s">
        <v>136</v>
      </c>
      <c r="M186" s="113" t="s">
        <v>136</v>
      </c>
      <c r="N186" s="113">
        <v>51668</v>
      </c>
      <c r="O186" s="113" t="s">
        <v>66</v>
      </c>
    </row>
    <row r="187" spans="2:15" x14ac:dyDescent="0.25">
      <c r="B187" s="84" t="s">
        <v>434</v>
      </c>
      <c r="C187" s="129" t="s">
        <v>435</v>
      </c>
      <c r="D187" s="76" t="s">
        <v>330</v>
      </c>
      <c r="E187" s="77" t="s">
        <v>251</v>
      </c>
      <c r="F187" s="77" t="s">
        <v>105</v>
      </c>
      <c r="G187" s="77" t="s">
        <v>135</v>
      </c>
      <c r="H187" s="78">
        <v>5</v>
      </c>
      <c r="I187" s="149"/>
      <c r="J187" s="151"/>
      <c r="K187" s="147" t="str">
        <f t="shared" si="4"/>
        <v/>
      </c>
      <c r="L187" s="112" t="s">
        <v>136</v>
      </c>
      <c r="M187" s="113" t="s">
        <v>136</v>
      </c>
      <c r="N187" s="113">
        <v>53012</v>
      </c>
      <c r="O187" s="113" t="s">
        <v>66</v>
      </c>
    </row>
    <row r="188" spans="2:15" x14ac:dyDescent="0.25">
      <c r="B188" s="84" t="s">
        <v>434</v>
      </c>
      <c r="C188" s="129" t="s">
        <v>435</v>
      </c>
      <c r="D188" s="76" t="s">
        <v>291</v>
      </c>
      <c r="E188" s="77" t="s">
        <v>256</v>
      </c>
      <c r="F188" s="77" t="s">
        <v>105</v>
      </c>
      <c r="G188" s="77" t="s">
        <v>118</v>
      </c>
      <c r="H188" s="78">
        <v>92</v>
      </c>
      <c r="I188" s="149"/>
      <c r="J188" s="151"/>
      <c r="K188" s="147" t="str">
        <f t="shared" si="4"/>
        <v/>
      </c>
      <c r="L188" s="112" t="s">
        <v>119</v>
      </c>
      <c r="M188" s="113" t="s">
        <v>119</v>
      </c>
      <c r="N188" s="113">
        <v>53013</v>
      </c>
      <c r="O188" s="113" t="s">
        <v>66</v>
      </c>
    </row>
    <row r="189" spans="2:15" x14ac:dyDescent="0.25">
      <c r="B189" s="84" t="s">
        <v>436</v>
      </c>
      <c r="C189" s="129" t="s">
        <v>437</v>
      </c>
      <c r="D189" s="80"/>
      <c r="E189" s="77" t="s">
        <v>186</v>
      </c>
      <c r="F189" s="77" t="s">
        <v>105</v>
      </c>
      <c r="G189" s="77" t="s">
        <v>127</v>
      </c>
      <c r="H189" s="78">
        <v>5</v>
      </c>
      <c r="I189" s="149"/>
      <c r="J189" s="151"/>
      <c r="K189" s="147" t="str">
        <f t="shared" si="4"/>
        <v/>
      </c>
      <c r="L189" s="112" t="s">
        <v>128</v>
      </c>
      <c r="M189" s="113" t="s">
        <v>128</v>
      </c>
      <c r="N189" s="113">
        <v>51761</v>
      </c>
      <c r="O189" s="113" t="s">
        <v>66</v>
      </c>
    </row>
    <row r="190" spans="2:15" x14ac:dyDescent="0.25">
      <c r="B190" s="84" t="s">
        <v>436</v>
      </c>
      <c r="C190" s="129" t="s">
        <v>437</v>
      </c>
      <c r="D190" s="80"/>
      <c r="E190" s="77" t="s">
        <v>438</v>
      </c>
      <c r="F190" s="77" t="s">
        <v>105</v>
      </c>
      <c r="G190" s="77" t="s">
        <v>127</v>
      </c>
      <c r="H190" s="78">
        <v>5</v>
      </c>
      <c r="I190" s="149"/>
      <c r="J190" s="151"/>
      <c r="K190" s="147" t="str">
        <f t="shared" si="4"/>
        <v/>
      </c>
      <c r="L190" s="112" t="s">
        <v>128</v>
      </c>
      <c r="M190" s="113" t="s">
        <v>128</v>
      </c>
      <c r="N190" s="113">
        <v>53108</v>
      </c>
      <c r="O190" s="113" t="s">
        <v>66</v>
      </c>
    </row>
    <row r="191" spans="2:15" x14ac:dyDescent="0.25">
      <c r="B191" s="84" t="s">
        <v>439</v>
      </c>
      <c r="C191" s="129" t="s">
        <v>440</v>
      </c>
      <c r="D191" s="80"/>
      <c r="E191" s="77" t="s">
        <v>250</v>
      </c>
      <c r="F191" s="77" t="s">
        <v>105</v>
      </c>
      <c r="G191" s="77" t="s">
        <v>118</v>
      </c>
      <c r="H191" s="78">
        <v>1</v>
      </c>
      <c r="I191" s="149"/>
      <c r="J191" s="151"/>
      <c r="K191" s="147" t="str">
        <f t="shared" si="4"/>
        <v/>
      </c>
      <c r="L191" s="112" t="s">
        <v>119</v>
      </c>
      <c r="M191" s="113" t="s">
        <v>119</v>
      </c>
      <c r="N191" s="113">
        <v>51763</v>
      </c>
      <c r="O191" s="113" t="s">
        <v>66</v>
      </c>
    </row>
    <row r="192" spans="2:15" x14ac:dyDescent="0.25">
      <c r="B192" s="84" t="s">
        <v>439</v>
      </c>
      <c r="C192" s="129" t="s">
        <v>440</v>
      </c>
      <c r="D192" s="80"/>
      <c r="E192" s="77" t="s">
        <v>441</v>
      </c>
      <c r="F192" s="77" t="s">
        <v>105</v>
      </c>
      <c r="G192" s="77" t="s">
        <v>127</v>
      </c>
      <c r="H192" s="78">
        <v>4</v>
      </c>
      <c r="I192" s="149"/>
      <c r="J192" s="151"/>
      <c r="K192" s="147" t="str">
        <f t="shared" si="4"/>
        <v/>
      </c>
      <c r="L192" s="112" t="s">
        <v>128</v>
      </c>
      <c r="M192" s="113" t="s">
        <v>128</v>
      </c>
      <c r="N192" s="113">
        <v>54360</v>
      </c>
      <c r="O192" s="113" t="s">
        <v>66</v>
      </c>
    </row>
    <row r="193" spans="2:15" x14ac:dyDescent="0.25">
      <c r="B193" s="84" t="s">
        <v>442</v>
      </c>
      <c r="C193" s="129" t="s">
        <v>443</v>
      </c>
      <c r="D193" s="76" t="s">
        <v>330</v>
      </c>
      <c r="E193" s="77" t="s">
        <v>222</v>
      </c>
      <c r="F193" s="77" t="s">
        <v>105</v>
      </c>
      <c r="G193" s="77" t="s">
        <v>154</v>
      </c>
      <c r="H193" s="78">
        <v>3</v>
      </c>
      <c r="I193" s="149"/>
      <c r="J193" s="151"/>
      <c r="K193" s="147" t="str">
        <f t="shared" si="4"/>
        <v/>
      </c>
      <c r="L193" s="112" t="s">
        <v>155</v>
      </c>
      <c r="M193" s="113" t="s">
        <v>155</v>
      </c>
      <c r="N193" s="113">
        <v>50438</v>
      </c>
      <c r="O193" s="113" t="s">
        <v>66</v>
      </c>
    </row>
    <row r="194" spans="2:15" x14ac:dyDescent="0.25">
      <c r="B194" s="84" t="s">
        <v>442</v>
      </c>
      <c r="C194" s="129" t="s">
        <v>443</v>
      </c>
      <c r="D194" s="76" t="s">
        <v>330</v>
      </c>
      <c r="E194" s="77" t="s">
        <v>250</v>
      </c>
      <c r="F194" s="77" t="s">
        <v>105</v>
      </c>
      <c r="G194" s="77" t="s">
        <v>127</v>
      </c>
      <c r="H194" s="78">
        <v>3</v>
      </c>
      <c r="I194" s="149"/>
      <c r="J194" s="151"/>
      <c r="K194" s="147" t="str">
        <f t="shared" si="4"/>
        <v/>
      </c>
      <c r="L194" s="112" t="s">
        <v>128</v>
      </c>
      <c r="M194" s="113" t="s">
        <v>128</v>
      </c>
      <c r="N194" s="113">
        <v>51764</v>
      </c>
      <c r="O194" s="113" t="s">
        <v>66</v>
      </c>
    </row>
    <row r="195" spans="2:15" x14ac:dyDescent="0.25">
      <c r="B195" s="84" t="s">
        <v>444</v>
      </c>
      <c r="C195" s="129" t="s">
        <v>445</v>
      </c>
      <c r="D195" s="80"/>
      <c r="E195" s="77" t="s">
        <v>266</v>
      </c>
      <c r="F195" s="77" t="s">
        <v>105</v>
      </c>
      <c r="G195" s="77" t="s">
        <v>131</v>
      </c>
      <c r="H195" s="78">
        <v>15</v>
      </c>
      <c r="I195" s="149"/>
      <c r="J195" s="151"/>
      <c r="K195" s="147" t="str">
        <f t="shared" si="4"/>
        <v/>
      </c>
      <c r="L195" s="112" t="s">
        <v>132</v>
      </c>
      <c r="M195" s="113" t="s">
        <v>132</v>
      </c>
      <c r="N195" s="113">
        <v>51825</v>
      </c>
      <c r="O195" s="113" t="s">
        <v>66</v>
      </c>
    </row>
    <row r="196" spans="2:15" x14ac:dyDescent="0.25">
      <c r="B196" s="84" t="s">
        <v>444</v>
      </c>
      <c r="C196" s="129" t="s">
        <v>445</v>
      </c>
      <c r="D196" s="80"/>
      <c r="E196" s="77" t="s">
        <v>420</v>
      </c>
      <c r="F196" s="77" t="s">
        <v>105</v>
      </c>
      <c r="G196" s="77" t="s">
        <v>446</v>
      </c>
      <c r="H196" s="78">
        <v>15</v>
      </c>
      <c r="I196" s="149"/>
      <c r="J196" s="151"/>
      <c r="K196" s="147" t="str">
        <f t="shared" si="4"/>
        <v/>
      </c>
      <c r="L196" s="112" t="s">
        <v>447</v>
      </c>
      <c r="M196" s="113" t="s">
        <v>447</v>
      </c>
      <c r="N196" s="113">
        <v>53174</v>
      </c>
      <c r="O196" s="113" t="s">
        <v>66</v>
      </c>
    </row>
    <row r="197" spans="2:15" x14ac:dyDescent="0.25">
      <c r="B197" s="84" t="s">
        <v>448</v>
      </c>
      <c r="C197" s="129" t="s">
        <v>449</v>
      </c>
      <c r="D197" s="80"/>
      <c r="E197" s="77" t="s">
        <v>222</v>
      </c>
      <c r="F197" s="77" t="s">
        <v>105</v>
      </c>
      <c r="G197" s="77" t="s">
        <v>154</v>
      </c>
      <c r="H197" s="78">
        <v>1</v>
      </c>
      <c r="I197" s="149"/>
      <c r="J197" s="151"/>
      <c r="K197" s="147" t="str">
        <f t="shared" si="4"/>
        <v/>
      </c>
      <c r="L197" s="112" t="s">
        <v>155</v>
      </c>
      <c r="M197" s="113" t="s">
        <v>155</v>
      </c>
      <c r="N197" s="113">
        <v>50500</v>
      </c>
      <c r="O197" s="113" t="s">
        <v>66</v>
      </c>
    </row>
    <row r="198" spans="2:15" x14ac:dyDescent="0.25">
      <c r="B198" s="84" t="s">
        <v>448</v>
      </c>
      <c r="C198" s="129" t="s">
        <v>449</v>
      </c>
      <c r="D198" s="80"/>
      <c r="E198" s="77" t="s">
        <v>250</v>
      </c>
      <c r="F198" s="77" t="s">
        <v>105</v>
      </c>
      <c r="G198" s="77" t="s">
        <v>154</v>
      </c>
      <c r="H198" s="78">
        <v>2</v>
      </c>
      <c r="I198" s="149"/>
      <c r="J198" s="151"/>
      <c r="K198" s="147" t="str">
        <f t="shared" si="4"/>
        <v/>
      </c>
      <c r="L198" s="112" t="s">
        <v>155</v>
      </c>
      <c r="M198" s="113" t="s">
        <v>155</v>
      </c>
      <c r="N198" s="113">
        <v>51829</v>
      </c>
      <c r="O198" s="113" t="s">
        <v>66</v>
      </c>
    </row>
    <row r="199" spans="2:15" x14ac:dyDescent="0.25">
      <c r="B199" s="84" t="s">
        <v>448</v>
      </c>
      <c r="C199" s="129" t="s">
        <v>449</v>
      </c>
      <c r="D199" s="80"/>
      <c r="E199" s="77" t="s">
        <v>251</v>
      </c>
      <c r="F199" s="77" t="s">
        <v>105</v>
      </c>
      <c r="G199" s="77" t="s">
        <v>127</v>
      </c>
      <c r="H199" s="78">
        <v>2</v>
      </c>
      <c r="I199" s="149"/>
      <c r="J199" s="151"/>
      <c r="K199" s="147" t="str">
        <f t="shared" si="4"/>
        <v/>
      </c>
      <c r="L199" s="112" t="s">
        <v>128</v>
      </c>
      <c r="M199" s="113" t="s">
        <v>128</v>
      </c>
      <c r="N199" s="113">
        <v>53178</v>
      </c>
      <c r="O199" s="113" t="s">
        <v>66</v>
      </c>
    </row>
    <row r="200" spans="2:15" x14ac:dyDescent="0.25">
      <c r="B200" s="84" t="s">
        <v>448</v>
      </c>
      <c r="C200" s="129" t="s">
        <v>449</v>
      </c>
      <c r="D200" s="80"/>
      <c r="E200" s="77" t="s">
        <v>433</v>
      </c>
      <c r="F200" s="77" t="s">
        <v>105</v>
      </c>
      <c r="G200" s="77" t="s">
        <v>390</v>
      </c>
      <c r="H200" s="78">
        <v>3</v>
      </c>
      <c r="I200" s="149"/>
      <c r="J200" s="151"/>
      <c r="K200" s="147" t="str">
        <f t="shared" si="4"/>
        <v/>
      </c>
      <c r="L200" s="112" t="s">
        <v>391</v>
      </c>
      <c r="M200" s="113" t="s">
        <v>391</v>
      </c>
      <c r="N200" s="113">
        <v>54414</v>
      </c>
      <c r="O200" s="113" t="s">
        <v>66</v>
      </c>
    </row>
    <row r="201" spans="2:15" x14ac:dyDescent="0.25">
      <c r="B201" s="84" t="s">
        <v>450</v>
      </c>
      <c r="C201" s="129" t="s">
        <v>451</v>
      </c>
      <c r="D201" s="76" t="s">
        <v>363</v>
      </c>
      <c r="E201" s="77" t="s">
        <v>353</v>
      </c>
      <c r="F201" s="77" t="s">
        <v>105</v>
      </c>
      <c r="G201" s="77" t="s">
        <v>131</v>
      </c>
      <c r="H201" s="78">
        <v>2</v>
      </c>
      <c r="I201" s="149"/>
      <c r="J201" s="151"/>
      <c r="K201" s="147" t="str">
        <f t="shared" si="4"/>
        <v/>
      </c>
      <c r="L201" s="112" t="s">
        <v>132</v>
      </c>
      <c r="M201" s="113" t="s">
        <v>132</v>
      </c>
      <c r="N201" s="113">
        <v>51922</v>
      </c>
      <c r="O201" s="113" t="s">
        <v>66</v>
      </c>
    </row>
    <row r="202" spans="2:15" x14ac:dyDescent="0.25">
      <c r="B202" s="84" t="s">
        <v>450</v>
      </c>
      <c r="C202" s="129" t="s">
        <v>451</v>
      </c>
      <c r="D202" s="76" t="s">
        <v>363</v>
      </c>
      <c r="E202" s="77" t="s">
        <v>369</v>
      </c>
      <c r="F202" s="77" t="s">
        <v>105</v>
      </c>
      <c r="G202" s="77" t="s">
        <v>106</v>
      </c>
      <c r="H202" s="78">
        <v>2</v>
      </c>
      <c r="I202" s="149"/>
      <c r="J202" s="151"/>
      <c r="K202" s="147" t="str">
        <f t="shared" si="4"/>
        <v/>
      </c>
      <c r="L202" s="112" t="s">
        <v>107</v>
      </c>
      <c r="M202" s="113" t="s">
        <v>107</v>
      </c>
      <c r="N202" s="113">
        <v>53274</v>
      </c>
      <c r="O202" s="113" t="s">
        <v>66</v>
      </c>
    </row>
    <row r="203" spans="2:15" x14ac:dyDescent="0.25">
      <c r="B203" s="84" t="s">
        <v>452</v>
      </c>
      <c r="C203" s="129" t="s">
        <v>453</v>
      </c>
      <c r="D203" s="80"/>
      <c r="E203" s="77" t="s">
        <v>454</v>
      </c>
      <c r="F203" s="77" t="s">
        <v>105</v>
      </c>
      <c r="G203" s="77" t="s">
        <v>337</v>
      </c>
      <c r="H203" s="78">
        <v>3</v>
      </c>
      <c r="I203" s="149"/>
      <c r="J203" s="151"/>
      <c r="K203" s="147" t="str">
        <f t="shared" si="4"/>
        <v/>
      </c>
      <c r="L203" s="112" t="s">
        <v>338</v>
      </c>
      <c r="M203" s="113" t="s">
        <v>338</v>
      </c>
      <c r="N203" s="113">
        <v>53467</v>
      </c>
      <c r="O203" s="113" t="s">
        <v>66</v>
      </c>
    </row>
    <row r="204" spans="2:15" x14ac:dyDescent="0.25">
      <c r="B204" s="84" t="s">
        <v>452</v>
      </c>
      <c r="C204" s="129" t="s">
        <v>453</v>
      </c>
      <c r="D204" s="80"/>
      <c r="E204" s="77" t="s">
        <v>455</v>
      </c>
      <c r="F204" s="77" t="s">
        <v>105</v>
      </c>
      <c r="G204" s="77" t="s">
        <v>337</v>
      </c>
      <c r="H204" s="78">
        <v>1</v>
      </c>
      <c r="I204" s="149"/>
      <c r="J204" s="151"/>
      <c r="K204" s="147" t="str">
        <f t="shared" si="4"/>
        <v/>
      </c>
      <c r="L204" s="112" t="s">
        <v>338</v>
      </c>
      <c r="M204" s="113" t="s">
        <v>338</v>
      </c>
      <c r="N204" s="113">
        <v>54659</v>
      </c>
      <c r="O204" s="113" t="s">
        <v>66</v>
      </c>
    </row>
    <row r="205" spans="2:15" x14ac:dyDescent="0.25">
      <c r="B205" s="84" t="s">
        <v>456</v>
      </c>
      <c r="C205" s="129" t="s">
        <v>457</v>
      </c>
      <c r="D205" s="80"/>
      <c r="E205" s="77" t="s">
        <v>353</v>
      </c>
      <c r="F205" s="77" t="s">
        <v>105</v>
      </c>
      <c r="G205" s="77" t="s">
        <v>162</v>
      </c>
      <c r="H205" s="78">
        <v>2</v>
      </c>
      <c r="I205" s="149"/>
      <c r="J205" s="151"/>
      <c r="K205" s="147" t="str">
        <f t="shared" si="4"/>
        <v/>
      </c>
      <c r="L205" s="112" t="s">
        <v>163</v>
      </c>
      <c r="M205" s="113" t="s">
        <v>163</v>
      </c>
      <c r="N205" s="113">
        <v>52331</v>
      </c>
      <c r="O205" s="113" t="s">
        <v>66</v>
      </c>
    </row>
    <row r="206" spans="2:15" x14ac:dyDescent="0.25">
      <c r="B206" s="84" t="s">
        <v>456</v>
      </c>
      <c r="C206" s="129" t="s">
        <v>457</v>
      </c>
      <c r="D206" s="80"/>
      <c r="E206" s="77" t="s">
        <v>369</v>
      </c>
      <c r="F206" s="77" t="s">
        <v>105</v>
      </c>
      <c r="G206" s="77" t="s">
        <v>154</v>
      </c>
      <c r="H206" s="78">
        <v>3</v>
      </c>
      <c r="I206" s="149"/>
      <c r="J206" s="151"/>
      <c r="K206" s="147" t="str">
        <f t="shared" si="4"/>
        <v/>
      </c>
      <c r="L206" s="112" t="s">
        <v>155</v>
      </c>
      <c r="M206" s="113" t="s">
        <v>155</v>
      </c>
      <c r="N206" s="113">
        <v>53691</v>
      </c>
      <c r="O206" s="113" t="s">
        <v>66</v>
      </c>
    </row>
    <row r="207" spans="2:15" x14ac:dyDescent="0.25">
      <c r="B207" s="84" t="s">
        <v>456</v>
      </c>
      <c r="C207" s="129" t="s">
        <v>457</v>
      </c>
      <c r="D207" s="80"/>
      <c r="E207" s="77" t="s">
        <v>354</v>
      </c>
      <c r="F207" s="77" t="s">
        <v>105</v>
      </c>
      <c r="G207" s="77" t="s">
        <v>127</v>
      </c>
      <c r="H207" s="78">
        <v>2</v>
      </c>
      <c r="I207" s="149"/>
      <c r="J207" s="151"/>
      <c r="K207" s="147" t="str">
        <f t="shared" si="4"/>
        <v/>
      </c>
      <c r="L207" s="112" t="s">
        <v>128</v>
      </c>
      <c r="M207" s="113" t="s">
        <v>128</v>
      </c>
      <c r="N207" s="113">
        <v>54840</v>
      </c>
      <c r="O207" s="113" t="s">
        <v>66</v>
      </c>
    </row>
    <row r="208" spans="2:15" x14ac:dyDescent="0.25">
      <c r="B208" s="84" t="s">
        <v>458</v>
      </c>
      <c r="C208" s="129" t="s">
        <v>459</v>
      </c>
      <c r="D208" s="80"/>
      <c r="E208" s="77" t="s">
        <v>352</v>
      </c>
      <c r="F208" s="77" t="s">
        <v>105</v>
      </c>
      <c r="G208" s="77" t="s">
        <v>162</v>
      </c>
      <c r="H208" s="78">
        <v>1</v>
      </c>
      <c r="I208" s="149"/>
      <c r="J208" s="151"/>
      <c r="K208" s="147" t="str">
        <f t="shared" si="4"/>
        <v/>
      </c>
      <c r="L208" s="112" t="s">
        <v>163</v>
      </c>
      <c r="M208" s="113" t="s">
        <v>163</v>
      </c>
      <c r="N208" s="113">
        <v>50990</v>
      </c>
      <c r="O208" s="113" t="s">
        <v>66</v>
      </c>
    </row>
    <row r="209" spans="2:15" x14ac:dyDescent="0.25">
      <c r="B209" s="84" t="s">
        <v>458</v>
      </c>
      <c r="C209" s="129" t="s">
        <v>459</v>
      </c>
      <c r="D209" s="80"/>
      <c r="E209" s="77" t="s">
        <v>353</v>
      </c>
      <c r="F209" s="77" t="s">
        <v>105</v>
      </c>
      <c r="G209" s="77" t="s">
        <v>154</v>
      </c>
      <c r="H209" s="78">
        <v>6</v>
      </c>
      <c r="I209" s="149"/>
      <c r="J209" s="151"/>
      <c r="K209" s="147" t="str">
        <f t="shared" si="4"/>
        <v/>
      </c>
      <c r="L209" s="112" t="s">
        <v>155</v>
      </c>
      <c r="M209" s="113" t="s">
        <v>155</v>
      </c>
      <c r="N209" s="113">
        <v>52332</v>
      </c>
      <c r="O209" s="113" t="s">
        <v>66</v>
      </c>
    </row>
    <row r="210" spans="2:15" x14ac:dyDescent="0.25">
      <c r="B210" s="84" t="s">
        <v>458</v>
      </c>
      <c r="C210" s="129" t="s">
        <v>459</v>
      </c>
      <c r="D210" s="80"/>
      <c r="E210" s="77" t="s">
        <v>369</v>
      </c>
      <c r="F210" s="77" t="s">
        <v>105</v>
      </c>
      <c r="G210" s="77" t="s">
        <v>319</v>
      </c>
      <c r="H210" s="78">
        <v>4</v>
      </c>
      <c r="I210" s="149"/>
      <c r="J210" s="151"/>
      <c r="K210" s="147" t="str">
        <f t="shared" ref="K210:K263" si="5">IF(ISNUMBER(I210),I210 * L210,"")</f>
        <v/>
      </c>
      <c r="L210" s="112" t="s">
        <v>320</v>
      </c>
      <c r="M210" s="113" t="s">
        <v>320</v>
      </c>
      <c r="N210" s="113">
        <v>53692</v>
      </c>
      <c r="O210" s="113" t="s">
        <v>66</v>
      </c>
    </row>
    <row r="211" spans="2:15" x14ac:dyDescent="0.25">
      <c r="B211" s="83" t="s">
        <v>64</v>
      </c>
      <c r="C211" s="130"/>
      <c r="D211" s="80"/>
      <c r="E211" s="81"/>
      <c r="F211" s="81"/>
      <c r="G211" s="81"/>
      <c r="H211" s="82"/>
      <c r="I211" s="149"/>
      <c r="J211" s="151"/>
      <c r="K211" s="147" t="str">
        <f t="shared" si="5"/>
        <v/>
      </c>
      <c r="L211" s="111"/>
      <c r="M211" s="89"/>
      <c r="O211" s="89"/>
    </row>
    <row r="212" spans="2:15" x14ac:dyDescent="0.25">
      <c r="B212" s="84" t="s">
        <v>460</v>
      </c>
      <c r="C212" s="129" t="s">
        <v>461</v>
      </c>
      <c r="D212" s="76" t="s">
        <v>363</v>
      </c>
      <c r="E212" s="77" t="s">
        <v>462</v>
      </c>
      <c r="F212" s="77" t="s">
        <v>105</v>
      </c>
      <c r="G212" s="77" t="s">
        <v>274</v>
      </c>
      <c r="H212" s="78">
        <v>3</v>
      </c>
      <c r="I212" s="149"/>
      <c r="J212" s="151"/>
      <c r="K212" s="147" t="str">
        <f t="shared" si="5"/>
        <v/>
      </c>
      <c r="L212" s="112" t="s">
        <v>275</v>
      </c>
      <c r="M212" s="113" t="s">
        <v>275</v>
      </c>
      <c r="N212" s="113">
        <v>52434</v>
      </c>
      <c r="O212" s="113" t="s">
        <v>64</v>
      </c>
    </row>
    <row r="213" spans="2:15" x14ac:dyDescent="0.25">
      <c r="B213" s="84" t="s">
        <v>463</v>
      </c>
      <c r="C213" s="129" t="s">
        <v>464</v>
      </c>
      <c r="D213" s="80"/>
      <c r="E213" s="77" t="s">
        <v>465</v>
      </c>
      <c r="F213" s="77" t="s">
        <v>105</v>
      </c>
      <c r="G213" s="77" t="s">
        <v>127</v>
      </c>
      <c r="H213" s="78">
        <v>5</v>
      </c>
      <c r="I213" s="149"/>
      <c r="J213" s="151"/>
      <c r="K213" s="147" t="str">
        <f t="shared" si="5"/>
        <v/>
      </c>
      <c r="L213" s="112" t="s">
        <v>128</v>
      </c>
      <c r="M213" s="113" t="s">
        <v>128</v>
      </c>
      <c r="N213" s="113">
        <v>49311</v>
      </c>
      <c r="O213" s="113" t="s">
        <v>64</v>
      </c>
    </row>
    <row r="214" spans="2:15" x14ac:dyDescent="0.25">
      <c r="B214" s="84" t="s">
        <v>463</v>
      </c>
      <c r="C214" s="129" t="s">
        <v>464</v>
      </c>
      <c r="D214" s="80"/>
      <c r="E214" s="77" t="s">
        <v>466</v>
      </c>
      <c r="F214" s="77" t="s">
        <v>105</v>
      </c>
      <c r="G214" s="77" t="s">
        <v>122</v>
      </c>
      <c r="H214" s="78">
        <v>1</v>
      </c>
      <c r="I214" s="149"/>
      <c r="J214" s="151"/>
      <c r="K214" s="147" t="str">
        <f t="shared" si="5"/>
        <v/>
      </c>
      <c r="L214" s="112" t="s">
        <v>123</v>
      </c>
      <c r="M214" s="113" t="s">
        <v>123</v>
      </c>
      <c r="N214" s="113">
        <v>56265</v>
      </c>
      <c r="O214" s="113" t="s">
        <v>64</v>
      </c>
    </row>
    <row r="215" spans="2:15" x14ac:dyDescent="0.25">
      <c r="B215" s="84" t="s">
        <v>467</v>
      </c>
      <c r="C215" s="129" t="s">
        <v>468</v>
      </c>
      <c r="D215" s="80"/>
      <c r="E215" s="77" t="s">
        <v>222</v>
      </c>
      <c r="F215" s="77" t="s">
        <v>105</v>
      </c>
      <c r="G215" s="77" t="s">
        <v>129</v>
      </c>
      <c r="H215" s="78">
        <v>25</v>
      </c>
      <c r="I215" s="149"/>
      <c r="J215" s="151"/>
      <c r="K215" s="147" t="str">
        <f t="shared" si="5"/>
        <v/>
      </c>
      <c r="L215" s="112" t="s">
        <v>130</v>
      </c>
      <c r="M215" s="113" t="s">
        <v>130</v>
      </c>
      <c r="N215" s="113">
        <v>50644</v>
      </c>
      <c r="O215" s="113" t="s">
        <v>64</v>
      </c>
    </row>
    <row r="216" spans="2:15" x14ac:dyDescent="0.25">
      <c r="B216" s="84" t="s">
        <v>467</v>
      </c>
      <c r="C216" s="129" t="s">
        <v>468</v>
      </c>
      <c r="D216" s="80"/>
      <c r="E216" s="77" t="s">
        <v>225</v>
      </c>
      <c r="F216" s="77" t="s">
        <v>105</v>
      </c>
      <c r="G216" s="77" t="s">
        <v>120</v>
      </c>
      <c r="H216" s="78">
        <v>25</v>
      </c>
      <c r="I216" s="149"/>
      <c r="J216" s="151"/>
      <c r="K216" s="147" t="str">
        <f t="shared" si="5"/>
        <v/>
      </c>
      <c r="L216" s="112" t="s">
        <v>121</v>
      </c>
      <c r="M216" s="113" t="s">
        <v>121</v>
      </c>
      <c r="N216" s="113">
        <v>53325</v>
      </c>
      <c r="O216" s="113" t="s">
        <v>64</v>
      </c>
    </row>
    <row r="217" spans="2:15" x14ac:dyDescent="0.25">
      <c r="B217" s="83" t="s">
        <v>60</v>
      </c>
      <c r="C217" s="130"/>
      <c r="D217" s="80"/>
      <c r="E217" s="81"/>
      <c r="F217" s="81"/>
      <c r="G217" s="81"/>
      <c r="H217" s="82"/>
      <c r="I217" s="149"/>
      <c r="J217" s="151"/>
      <c r="K217" s="147" t="str">
        <f t="shared" si="5"/>
        <v/>
      </c>
      <c r="L217" s="111"/>
      <c r="M217" s="89"/>
      <c r="O217" s="89"/>
    </row>
    <row r="218" spans="2:15" x14ac:dyDescent="0.25">
      <c r="B218" s="84" t="s">
        <v>469</v>
      </c>
      <c r="C218" s="129" t="s">
        <v>470</v>
      </c>
      <c r="D218" s="80"/>
      <c r="E218" s="77" t="s">
        <v>186</v>
      </c>
      <c r="F218" s="77" t="s">
        <v>105</v>
      </c>
      <c r="G218" s="77" t="s">
        <v>156</v>
      </c>
      <c r="H218" s="78">
        <v>15</v>
      </c>
      <c r="I218" s="149"/>
      <c r="J218" s="151"/>
      <c r="K218" s="147" t="str">
        <f t="shared" si="5"/>
        <v/>
      </c>
      <c r="L218" s="112" t="s">
        <v>157</v>
      </c>
      <c r="M218" s="113" t="s">
        <v>157</v>
      </c>
      <c r="N218" s="113">
        <v>51146</v>
      </c>
      <c r="O218" s="113" t="s">
        <v>60</v>
      </c>
    </row>
    <row r="219" spans="2:15" x14ac:dyDescent="0.25">
      <c r="B219" s="84" t="s">
        <v>469</v>
      </c>
      <c r="C219" s="129" t="s">
        <v>470</v>
      </c>
      <c r="D219" s="80"/>
      <c r="E219" s="77" t="s">
        <v>279</v>
      </c>
      <c r="F219" s="77" t="s">
        <v>105</v>
      </c>
      <c r="G219" s="77" t="s">
        <v>156</v>
      </c>
      <c r="H219" s="78">
        <v>51</v>
      </c>
      <c r="I219" s="149"/>
      <c r="J219" s="151"/>
      <c r="K219" s="147" t="str">
        <f t="shared" si="5"/>
        <v/>
      </c>
      <c r="L219" s="112" t="s">
        <v>157</v>
      </c>
      <c r="M219" s="113" t="s">
        <v>157</v>
      </c>
      <c r="N219" s="113">
        <v>52487</v>
      </c>
      <c r="O219" s="113" t="s">
        <v>60</v>
      </c>
    </row>
    <row r="220" spans="2:15" x14ac:dyDescent="0.25">
      <c r="B220" s="84" t="s">
        <v>472</v>
      </c>
      <c r="C220" s="129" t="s">
        <v>473</v>
      </c>
      <c r="D220" s="80"/>
      <c r="E220" s="77" t="s">
        <v>306</v>
      </c>
      <c r="F220" s="77" t="s">
        <v>105</v>
      </c>
      <c r="G220" s="77" t="s">
        <v>118</v>
      </c>
      <c r="H220" s="78">
        <v>1</v>
      </c>
      <c r="I220" s="149"/>
      <c r="J220" s="151"/>
      <c r="K220" s="147" t="str">
        <f t="shared" si="5"/>
        <v/>
      </c>
      <c r="L220" s="112" t="s">
        <v>119</v>
      </c>
      <c r="M220" s="113" t="s">
        <v>119</v>
      </c>
      <c r="N220" s="113">
        <v>56509</v>
      </c>
      <c r="O220" s="113" t="s">
        <v>60</v>
      </c>
    </row>
    <row r="221" spans="2:15" x14ac:dyDescent="0.25">
      <c r="B221" s="84" t="s">
        <v>475</v>
      </c>
      <c r="C221" s="129" t="s">
        <v>476</v>
      </c>
      <c r="D221" s="76" t="s">
        <v>474</v>
      </c>
      <c r="E221" s="77" t="s">
        <v>225</v>
      </c>
      <c r="F221" s="77" t="s">
        <v>105</v>
      </c>
      <c r="G221" s="77" t="s">
        <v>192</v>
      </c>
      <c r="H221" s="78">
        <v>2</v>
      </c>
      <c r="I221" s="149"/>
      <c r="J221" s="151"/>
      <c r="K221" s="147" t="str">
        <f t="shared" si="5"/>
        <v/>
      </c>
      <c r="L221" s="112" t="s">
        <v>193</v>
      </c>
      <c r="M221" s="113" t="s">
        <v>193</v>
      </c>
      <c r="N221" s="113">
        <v>52386</v>
      </c>
      <c r="O221" s="113" t="s">
        <v>60</v>
      </c>
    </row>
    <row r="222" spans="2:15" x14ac:dyDescent="0.25">
      <c r="B222" s="84" t="s">
        <v>475</v>
      </c>
      <c r="C222" s="129" t="s">
        <v>476</v>
      </c>
      <c r="D222" s="76" t="s">
        <v>474</v>
      </c>
      <c r="E222" s="77" t="s">
        <v>396</v>
      </c>
      <c r="F222" s="77" t="s">
        <v>105</v>
      </c>
      <c r="G222" s="77" t="s">
        <v>192</v>
      </c>
      <c r="H222" s="78">
        <v>6</v>
      </c>
      <c r="I222" s="149"/>
      <c r="J222" s="151"/>
      <c r="K222" s="147" t="str">
        <f t="shared" si="5"/>
        <v/>
      </c>
      <c r="L222" s="112" t="s">
        <v>193</v>
      </c>
      <c r="M222" s="113" t="s">
        <v>193</v>
      </c>
      <c r="N222" s="113">
        <v>53741</v>
      </c>
      <c r="O222" s="113" t="s">
        <v>60</v>
      </c>
    </row>
    <row r="223" spans="2:15" x14ac:dyDescent="0.25">
      <c r="B223" s="84" t="s">
        <v>475</v>
      </c>
      <c r="C223" s="129" t="s">
        <v>476</v>
      </c>
      <c r="D223" s="76" t="s">
        <v>318</v>
      </c>
      <c r="E223" s="77" t="s">
        <v>225</v>
      </c>
      <c r="F223" s="77" t="s">
        <v>105</v>
      </c>
      <c r="G223" s="77" t="s">
        <v>319</v>
      </c>
      <c r="H223" s="78">
        <v>2</v>
      </c>
      <c r="I223" s="149"/>
      <c r="J223" s="151"/>
      <c r="K223" s="147" t="str">
        <f t="shared" si="5"/>
        <v/>
      </c>
      <c r="L223" s="112" t="s">
        <v>320</v>
      </c>
      <c r="M223" s="113" t="s">
        <v>320</v>
      </c>
      <c r="N223" s="113">
        <v>52387</v>
      </c>
      <c r="O223" s="113" t="s">
        <v>60</v>
      </c>
    </row>
    <row r="224" spans="2:15" x14ac:dyDescent="0.25">
      <c r="B224" s="84" t="s">
        <v>475</v>
      </c>
      <c r="C224" s="129" t="s">
        <v>476</v>
      </c>
      <c r="D224" s="76" t="s">
        <v>318</v>
      </c>
      <c r="E224" s="77" t="s">
        <v>396</v>
      </c>
      <c r="F224" s="77" t="s">
        <v>105</v>
      </c>
      <c r="G224" s="77" t="s">
        <v>319</v>
      </c>
      <c r="H224" s="78">
        <v>1</v>
      </c>
      <c r="I224" s="149"/>
      <c r="J224" s="151"/>
      <c r="K224" s="147" t="str">
        <f t="shared" si="5"/>
        <v/>
      </c>
      <c r="L224" s="112" t="s">
        <v>320</v>
      </c>
      <c r="M224" s="113" t="s">
        <v>320</v>
      </c>
      <c r="N224" s="113">
        <v>53742</v>
      </c>
      <c r="O224" s="113" t="s">
        <v>60</v>
      </c>
    </row>
    <row r="225" spans="2:15" x14ac:dyDescent="0.25">
      <c r="B225" s="83" t="s">
        <v>54</v>
      </c>
      <c r="C225" s="130"/>
      <c r="D225" s="80"/>
      <c r="E225" s="81"/>
      <c r="F225" s="81"/>
      <c r="G225" s="81"/>
      <c r="H225" s="82"/>
      <c r="I225" s="149"/>
      <c r="J225" s="151"/>
      <c r="K225" s="147" t="str">
        <f t="shared" si="5"/>
        <v/>
      </c>
      <c r="L225" s="111"/>
      <c r="M225" s="89"/>
      <c r="O225" s="89"/>
    </row>
    <row r="226" spans="2:15" x14ac:dyDescent="0.25">
      <c r="B226" s="84" t="s">
        <v>477</v>
      </c>
      <c r="C226" s="129" t="s">
        <v>478</v>
      </c>
      <c r="D226" s="80"/>
      <c r="E226" s="77" t="s">
        <v>186</v>
      </c>
      <c r="F226" s="77" t="s">
        <v>105</v>
      </c>
      <c r="G226" s="77" t="s">
        <v>156</v>
      </c>
      <c r="H226" s="78">
        <v>1</v>
      </c>
      <c r="I226" s="149"/>
      <c r="J226" s="151"/>
      <c r="K226" s="147" t="str">
        <f t="shared" si="5"/>
        <v/>
      </c>
      <c r="L226" s="112" t="s">
        <v>157</v>
      </c>
      <c r="M226" s="113" t="s">
        <v>157</v>
      </c>
      <c r="N226" s="113">
        <v>51430</v>
      </c>
      <c r="O226" s="113" t="s">
        <v>54</v>
      </c>
    </row>
    <row r="227" spans="2:15" x14ac:dyDescent="0.25">
      <c r="B227" s="84" t="s">
        <v>479</v>
      </c>
      <c r="C227" s="129" t="s">
        <v>480</v>
      </c>
      <c r="D227" s="76" t="s">
        <v>204</v>
      </c>
      <c r="E227" s="77" t="s">
        <v>420</v>
      </c>
      <c r="F227" s="77" t="s">
        <v>105</v>
      </c>
      <c r="G227" s="77" t="s">
        <v>337</v>
      </c>
      <c r="H227" s="78">
        <v>20</v>
      </c>
      <c r="I227" s="149"/>
      <c r="J227" s="151"/>
      <c r="K227" s="147" t="str">
        <f t="shared" si="5"/>
        <v/>
      </c>
      <c r="L227" s="112" t="s">
        <v>338</v>
      </c>
      <c r="M227" s="113" t="s">
        <v>338</v>
      </c>
      <c r="N227" s="113">
        <v>52911</v>
      </c>
      <c r="O227" s="113" t="s">
        <v>54</v>
      </c>
    </row>
    <row r="228" spans="2:15" x14ac:dyDescent="0.25">
      <c r="B228" s="84" t="s">
        <v>481</v>
      </c>
      <c r="C228" s="129" t="s">
        <v>482</v>
      </c>
      <c r="D228" s="76" t="s">
        <v>204</v>
      </c>
      <c r="E228" s="77" t="s">
        <v>276</v>
      </c>
      <c r="F228" s="77" t="s">
        <v>105</v>
      </c>
      <c r="G228" s="77" t="s">
        <v>483</v>
      </c>
      <c r="H228" s="78">
        <v>5</v>
      </c>
      <c r="I228" s="149"/>
      <c r="J228" s="151"/>
      <c r="K228" s="147" t="str">
        <f t="shared" si="5"/>
        <v/>
      </c>
      <c r="L228" s="112" t="s">
        <v>484</v>
      </c>
      <c r="M228" s="113" t="s">
        <v>484</v>
      </c>
      <c r="N228" s="113">
        <v>52909</v>
      </c>
      <c r="O228" s="113" t="s">
        <v>54</v>
      </c>
    </row>
    <row r="229" spans="2:15" x14ac:dyDescent="0.25">
      <c r="B229" s="84" t="s">
        <v>481</v>
      </c>
      <c r="C229" s="129" t="s">
        <v>482</v>
      </c>
      <c r="D229" s="76" t="s">
        <v>204</v>
      </c>
      <c r="E229" s="77" t="s">
        <v>485</v>
      </c>
      <c r="F229" s="77" t="s">
        <v>105</v>
      </c>
      <c r="G229" s="77" t="s">
        <v>483</v>
      </c>
      <c r="H229" s="78">
        <v>5</v>
      </c>
      <c r="I229" s="149"/>
      <c r="J229" s="151"/>
      <c r="K229" s="147" t="str">
        <f t="shared" si="5"/>
        <v/>
      </c>
      <c r="L229" s="112" t="s">
        <v>484</v>
      </c>
      <c r="M229" s="113" t="s">
        <v>484</v>
      </c>
      <c r="N229" s="113">
        <v>54186</v>
      </c>
      <c r="O229" s="113" t="s">
        <v>54</v>
      </c>
    </row>
    <row r="230" spans="2:15" x14ac:dyDescent="0.25">
      <c r="B230" s="84" t="s">
        <v>486</v>
      </c>
      <c r="C230" s="129" t="s">
        <v>487</v>
      </c>
      <c r="D230" s="80"/>
      <c r="E230" s="77" t="s">
        <v>471</v>
      </c>
      <c r="F230" s="77" t="s">
        <v>105</v>
      </c>
      <c r="G230" s="77" t="s">
        <v>118</v>
      </c>
      <c r="H230" s="78">
        <v>6</v>
      </c>
      <c r="I230" s="149"/>
      <c r="J230" s="151"/>
      <c r="K230" s="147" t="str">
        <f t="shared" si="5"/>
        <v/>
      </c>
      <c r="L230" s="112" t="s">
        <v>119</v>
      </c>
      <c r="M230" s="113" t="s">
        <v>119</v>
      </c>
      <c r="N230" s="113">
        <v>57880</v>
      </c>
      <c r="O230" s="113" t="s">
        <v>54</v>
      </c>
    </row>
    <row r="231" spans="2:15" x14ac:dyDescent="0.25">
      <c r="B231" s="84" t="s">
        <v>488</v>
      </c>
      <c r="C231" s="129" t="s">
        <v>489</v>
      </c>
      <c r="D231" s="80"/>
      <c r="E231" s="77" t="s">
        <v>186</v>
      </c>
      <c r="F231" s="77" t="s">
        <v>105</v>
      </c>
      <c r="G231" s="77" t="s">
        <v>156</v>
      </c>
      <c r="H231" s="78">
        <v>10</v>
      </c>
      <c r="I231" s="149"/>
      <c r="J231" s="151"/>
      <c r="K231" s="147" t="str">
        <f t="shared" si="5"/>
        <v/>
      </c>
      <c r="L231" s="112" t="s">
        <v>157</v>
      </c>
      <c r="M231" s="113" t="s">
        <v>157</v>
      </c>
      <c r="N231" s="113">
        <v>51834</v>
      </c>
      <c r="O231" s="113" t="s">
        <v>54</v>
      </c>
    </row>
    <row r="232" spans="2:15" x14ac:dyDescent="0.25">
      <c r="B232" s="84" t="s">
        <v>488</v>
      </c>
      <c r="C232" s="129" t="s">
        <v>489</v>
      </c>
      <c r="D232" s="80"/>
      <c r="E232" s="77" t="s">
        <v>196</v>
      </c>
      <c r="F232" s="77" t="s">
        <v>105</v>
      </c>
      <c r="G232" s="77" t="s">
        <v>156</v>
      </c>
      <c r="H232" s="78">
        <v>4</v>
      </c>
      <c r="I232" s="149"/>
      <c r="J232" s="151"/>
      <c r="K232" s="147" t="str">
        <f t="shared" si="5"/>
        <v/>
      </c>
      <c r="L232" s="112" t="s">
        <v>157</v>
      </c>
      <c r="M232" s="113" t="s">
        <v>157</v>
      </c>
      <c r="N232" s="113">
        <v>53183</v>
      </c>
      <c r="O232" s="113" t="s">
        <v>54</v>
      </c>
    </row>
    <row r="233" spans="2:15" x14ac:dyDescent="0.25">
      <c r="B233" s="84" t="s">
        <v>488</v>
      </c>
      <c r="C233" s="129" t="s">
        <v>489</v>
      </c>
      <c r="D233" s="80"/>
      <c r="E233" s="77" t="s">
        <v>197</v>
      </c>
      <c r="F233" s="77" t="s">
        <v>105</v>
      </c>
      <c r="G233" s="77" t="s">
        <v>156</v>
      </c>
      <c r="H233" s="78">
        <v>4</v>
      </c>
      <c r="I233" s="149"/>
      <c r="J233" s="151"/>
      <c r="K233" s="147" t="str">
        <f t="shared" si="5"/>
        <v/>
      </c>
      <c r="L233" s="112" t="s">
        <v>157</v>
      </c>
      <c r="M233" s="113" t="s">
        <v>157</v>
      </c>
      <c r="N233" s="113">
        <v>54419</v>
      </c>
      <c r="O233" s="113" t="s">
        <v>54</v>
      </c>
    </row>
    <row r="234" spans="2:15" x14ac:dyDescent="0.25">
      <c r="B234" s="84" t="s">
        <v>490</v>
      </c>
      <c r="C234" s="129" t="s">
        <v>491</v>
      </c>
      <c r="D234" s="80"/>
      <c r="E234" s="77" t="s">
        <v>197</v>
      </c>
      <c r="F234" s="77" t="s">
        <v>105</v>
      </c>
      <c r="G234" s="77" t="s">
        <v>162</v>
      </c>
      <c r="H234" s="78">
        <v>17</v>
      </c>
      <c r="I234" s="149"/>
      <c r="J234" s="151"/>
      <c r="K234" s="147" t="str">
        <f t="shared" si="5"/>
        <v/>
      </c>
      <c r="L234" s="112" t="s">
        <v>163</v>
      </c>
      <c r="M234" s="113" t="s">
        <v>163</v>
      </c>
      <c r="N234" s="113">
        <v>54420</v>
      </c>
      <c r="O234" s="113" t="s">
        <v>54</v>
      </c>
    </row>
    <row r="235" spans="2:15" x14ac:dyDescent="0.25">
      <c r="B235" s="84" t="s">
        <v>492</v>
      </c>
      <c r="C235" s="129" t="s">
        <v>493</v>
      </c>
      <c r="D235" s="80"/>
      <c r="E235" s="77" t="s">
        <v>197</v>
      </c>
      <c r="F235" s="77" t="s">
        <v>105</v>
      </c>
      <c r="G235" s="77" t="s">
        <v>137</v>
      </c>
      <c r="H235" s="78">
        <v>11</v>
      </c>
      <c r="I235" s="149"/>
      <c r="J235" s="151"/>
      <c r="K235" s="147" t="str">
        <f t="shared" si="5"/>
        <v/>
      </c>
      <c r="L235" s="112" t="s">
        <v>138</v>
      </c>
      <c r="M235" s="113" t="s">
        <v>138</v>
      </c>
      <c r="N235" s="113">
        <v>54421</v>
      </c>
      <c r="O235" s="113" t="s">
        <v>54</v>
      </c>
    </row>
    <row r="236" spans="2:15" x14ac:dyDescent="0.25">
      <c r="B236" s="84" t="s">
        <v>494</v>
      </c>
      <c r="C236" s="129" t="s">
        <v>495</v>
      </c>
      <c r="D236" s="80"/>
      <c r="E236" s="77" t="s">
        <v>266</v>
      </c>
      <c r="F236" s="77" t="s">
        <v>105</v>
      </c>
      <c r="G236" s="77" t="s">
        <v>127</v>
      </c>
      <c r="H236" s="78">
        <v>1</v>
      </c>
      <c r="I236" s="149"/>
      <c r="J236" s="151"/>
      <c r="K236" s="147" t="str">
        <f t="shared" si="5"/>
        <v/>
      </c>
      <c r="L236" s="112" t="s">
        <v>128</v>
      </c>
      <c r="M236" s="113" t="s">
        <v>128</v>
      </c>
      <c r="N236" s="113">
        <v>55969</v>
      </c>
      <c r="O236" s="113" t="s">
        <v>54</v>
      </c>
    </row>
    <row r="237" spans="2:15" x14ac:dyDescent="0.25">
      <c r="B237" s="84" t="s">
        <v>496</v>
      </c>
      <c r="C237" s="129" t="s">
        <v>497</v>
      </c>
      <c r="D237" s="76" t="s">
        <v>204</v>
      </c>
      <c r="E237" s="77" t="s">
        <v>174</v>
      </c>
      <c r="F237" s="77" t="s">
        <v>105</v>
      </c>
      <c r="G237" s="77" t="s">
        <v>319</v>
      </c>
      <c r="H237" s="78">
        <v>10</v>
      </c>
      <c r="I237" s="149"/>
      <c r="J237" s="151"/>
      <c r="K237" s="147" t="str">
        <f t="shared" si="5"/>
        <v/>
      </c>
      <c r="L237" s="112" t="s">
        <v>320</v>
      </c>
      <c r="M237" s="113" t="s">
        <v>320</v>
      </c>
      <c r="N237" s="113">
        <v>55212</v>
      </c>
      <c r="O237" s="113" t="s">
        <v>54</v>
      </c>
    </row>
    <row r="238" spans="2:15" x14ac:dyDescent="0.25">
      <c r="B238" s="84" t="s">
        <v>496</v>
      </c>
      <c r="C238" s="129" t="s">
        <v>497</v>
      </c>
      <c r="D238" s="76" t="s">
        <v>204</v>
      </c>
      <c r="E238" s="77" t="s">
        <v>498</v>
      </c>
      <c r="F238" s="77" t="s">
        <v>105</v>
      </c>
      <c r="G238" s="77" t="s">
        <v>319</v>
      </c>
      <c r="H238" s="78">
        <v>10</v>
      </c>
      <c r="I238" s="149"/>
      <c r="J238" s="151"/>
      <c r="K238" s="147" t="str">
        <f t="shared" si="5"/>
        <v/>
      </c>
      <c r="L238" s="112" t="s">
        <v>320</v>
      </c>
      <c r="M238" s="113" t="s">
        <v>320</v>
      </c>
      <c r="N238" s="113">
        <v>55213</v>
      </c>
      <c r="O238" s="113" t="s">
        <v>54</v>
      </c>
    </row>
    <row r="239" spans="2:15" x14ac:dyDescent="0.25">
      <c r="B239" s="83" t="s">
        <v>56</v>
      </c>
      <c r="C239" s="130"/>
      <c r="D239" s="80"/>
      <c r="E239" s="81"/>
      <c r="F239" s="81"/>
      <c r="G239" s="81"/>
      <c r="H239" s="82"/>
      <c r="I239" s="149"/>
      <c r="J239" s="151"/>
      <c r="K239" s="147" t="str">
        <f t="shared" si="5"/>
        <v/>
      </c>
      <c r="L239" s="111"/>
      <c r="M239" s="89"/>
      <c r="O239" s="89"/>
    </row>
    <row r="240" spans="2:15" x14ac:dyDescent="0.25">
      <c r="B240" s="84" t="s">
        <v>499</v>
      </c>
      <c r="C240" s="129" t="s">
        <v>500</v>
      </c>
      <c r="D240" s="80"/>
      <c r="E240" s="77" t="s">
        <v>207</v>
      </c>
      <c r="F240" s="77" t="s">
        <v>105</v>
      </c>
      <c r="G240" s="77" t="s">
        <v>137</v>
      </c>
      <c r="H240" s="78">
        <v>10</v>
      </c>
      <c r="I240" s="149"/>
      <c r="J240" s="151"/>
      <c r="K240" s="147" t="str">
        <f t="shared" si="5"/>
        <v/>
      </c>
      <c r="L240" s="112" t="s">
        <v>138</v>
      </c>
      <c r="M240" s="113" t="s">
        <v>138</v>
      </c>
      <c r="N240" s="113">
        <v>51213</v>
      </c>
      <c r="O240" s="113" t="s">
        <v>56</v>
      </c>
    </row>
    <row r="241" spans="2:15" x14ac:dyDescent="0.25">
      <c r="B241" s="84" t="s">
        <v>499</v>
      </c>
      <c r="C241" s="129" t="s">
        <v>500</v>
      </c>
      <c r="D241" s="80"/>
      <c r="E241" s="77" t="s">
        <v>454</v>
      </c>
      <c r="F241" s="77" t="s">
        <v>105</v>
      </c>
      <c r="G241" s="77" t="s">
        <v>137</v>
      </c>
      <c r="H241" s="78">
        <v>10</v>
      </c>
      <c r="I241" s="149"/>
      <c r="J241" s="151"/>
      <c r="K241" s="147" t="str">
        <f t="shared" si="5"/>
        <v/>
      </c>
      <c r="L241" s="112" t="s">
        <v>138</v>
      </c>
      <c r="M241" s="113" t="s">
        <v>138</v>
      </c>
      <c r="N241" s="113">
        <v>52557</v>
      </c>
      <c r="O241" s="113" t="s">
        <v>56</v>
      </c>
    </row>
    <row r="242" spans="2:15" x14ac:dyDescent="0.25">
      <c r="B242" s="84" t="s">
        <v>501</v>
      </c>
      <c r="C242" s="129" t="s">
        <v>502</v>
      </c>
      <c r="D242" s="80"/>
      <c r="E242" s="77" t="s">
        <v>207</v>
      </c>
      <c r="F242" s="77" t="s">
        <v>105</v>
      </c>
      <c r="G242" s="77" t="s">
        <v>154</v>
      </c>
      <c r="H242" s="78">
        <v>10</v>
      </c>
      <c r="I242" s="149"/>
      <c r="J242" s="151"/>
      <c r="K242" s="147" t="str">
        <f t="shared" si="5"/>
        <v/>
      </c>
      <c r="L242" s="112" t="s">
        <v>155</v>
      </c>
      <c r="M242" s="113" t="s">
        <v>155</v>
      </c>
      <c r="N242" s="113">
        <v>51214</v>
      </c>
      <c r="O242" s="113" t="s">
        <v>56</v>
      </c>
    </row>
    <row r="243" spans="2:15" x14ac:dyDescent="0.25">
      <c r="B243" s="84" t="s">
        <v>501</v>
      </c>
      <c r="C243" s="129" t="s">
        <v>502</v>
      </c>
      <c r="D243" s="80"/>
      <c r="E243" s="77" t="s">
        <v>454</v>
      </c>
      <c r="F243" s="77" t="s">
        <v>105</v>
      </c>
      <c r="G243" s="77" t="s">
        <v>154</v>
      </c>
      <c r="H243" s="78">
        <v>10</v>
      </c>
      <c r="I243" s="149"/>
      <c r="J243" s="151"/>
      <c r="K243" s="147" t="str">
        <f t="shared" si="5"/>
        <v/>
      </c>
      <c r="L243" s="112" t="s">
        <v>155</v>
      </c>
      <c r="M243" s="113" t="s">
        <v>155</v>
      </c>
      <c r="N243" s="113">
        <v>52558</v>
      </c>
      <c r="O243" s="113" t="s">
        <v>56</v>
      </c>
    </row>
    <row r="244" spans="2:15" x14ac:dyDescent="0.25">
      <c r="B244" s="83" t="s">
        <v>65</v>
      </c>
      <c r="C244" s="130"/>
      <c r="D244" s="80"/>
      <c r="E244" s="81"/>
      <c r="F244" s="81"/>
      <c r="G244" s="81"/>
      <c r="H244" s="82"/>
      <c r="I244" s="149"/>
      <c r="J244" s="151"/>
      <c r="K244" s="147" t="str">
        <f t="shared" si="5"/>
        <v/>
      </c>
      <c r="L244" s="111"/>
      <c r="M244" s="89"/>
      <c r="O244" s="89"/>
    </row>
    <row r="245" spans="2:15" x14ac:dyDescent="0.25">
      <c r="B245" s="84" t="s">
        <v>503</v>
      </c>
      <c r="C245" s="129" t="s">
        <v>504</v>
      </c>
      <c r="D245" s="80"/>
      <c r="E245" s="77" t="s">
        <v>505</v>
      </c>
      <c r="F245" s="77" t="s">
        <v>105</v>
      </c>
      <c r="G245" s="77" t="s">
        <v>274</v>
      </c>
      <c r="H245" s="78">
        <v>3</v>
      </c>
      <c r="I245" s="149"/>
      <c r="J245" s="151"/>
      <c r="K245" s="147" t="str">
        <f t="shared" si="5"/>
        <v/>
      </c>
      <c r="L245" s="112" t="s">
        <v>275</v>
      </c>
      <c r="M245" s="113" t="s">
        <v>275</v>
      </c>
      <c r="N245" s="113">
        <v>53187</v>
      </c>
      <c r="O245" s="113" t="s">
        <v>65</v>
      </c>
    </row>
    <row r="246" spans="2:15" x14ac:dyDescent="0.25">
      <c r="B246" s="84" t="s">
        <v>506</v>
      </c>
      <c r="C246" s="129" t="s">
        <v>507</v>
      </c>
      <c r="D246" s="80"/>
      <c r="E246" s="77" t="s">
        <v>508</v>
      </c>
      <c r="F246" s="77" t="s">
        <v>105</v>
      </c>
      <c r="G246" s="77" t="s">
        <v>131</v>
      </c>
      <c r="H246" s="78">
        <v>1</v>
      </c>
      <c r="I246" s="149"/>
      <c r="J246" s="151"/>
      <c r="K246" s="147" t="str">
        <f t="shared" si="5"/>
        <v/>
      </c>
      <c r="L246" s="112" t="s">
        <v>132</v>
      </c>
      <c r="M246" s="113" t="s">
        <v>132</v>
      </c>
      <c r="N246" s="113">
        <v>53281</v>
      </c>
      <c r="O246" s="113" t="s">
        <v>65</v>
      </c>
    </row>
    <row r="247" spans="2:15" x14ac:dyDescent="0.25">
      <c r="B247" s="84" t="s">
        <v>509</v>
      </c>
      <c r="C247" s="129" t="s">
        <v>510</v>
      </c>
      <c r="D247" s="80"/>
      <c r="E247" s="77" t="s">
        <v>511</v>
      </c>
      <c r="F247" s="77" t="s">
        <v>105</v>
      </c>
      <c r="G247" s="77" t="s">
        <v>192</v>
      </c>
      <c r="H247" s="78">
        <v>1</v>
      </c>
      <c r="I247" s="149"/>
      <c r="J247" s="151"/>
      <c r="K247" s="147" t="str">
        <f t="shared" si="5"/>
        <v/>
      </c>
      <c r="L247" s="112" t="s">
        <v>193</v>
      </c>
      <c r="M247" s="113" t="s">
        <v>193</v>
      </c>
      <c r="N247" s="113">
        <v>50814</v>
      </c>
      <c r="O247" s="113" t="s">
        <v>65</v>
      </c>
    </row>
    <row r="248" spans="2:15" x14ac:dyDescent="0.25">
      <c r="B248" s="84" t="s">
        <v>512</v>
      </c>
      <c r="C248" s="129" t="s">
        <v>513</v>
      </c>
      <c r="D248" s="80"/>
      <c r="E248" s="77" t="s">
        <v>514</v>
      </c>
      <c r="F248" s="77" t="s">
        <v>105</v>
      </c>
      <c r="G248" s="77" t="s">
        <v>124</v>
      </c>
      <c r="H248" s="78">
        <v>1</v>
      </c>
      <c r="I248" s="149"/>
      <c r="J248" s="151"/>
      <c r="K248" s="147" t="str">
        <f t="shared" si="5"/>
        <v/>
      </c>
      <c r="L248" s="112" t="s">
        <v>125</v>
      </c>
      <c r="M248" s="113" t="s">
        <v>125</v>
      </c>
      <c r="N248" s="113">
        <v>58411</v>
      </c>
      <c r="O248" s="113" t="s">
        <v>65</v>
      </c>
    </row>
    <row r="249" spans="2:15" x14ac:dyDescent="0.25">
      <c r="B249" s="84" t="s">
        <v>515</v>
      </c>
      <c r="C249" s="129" t="s">
        <v>516</v>
      </c>
      <c r="D249" s="76" t="s">
        <v>330</v>
      </c>
      <c r="E249" s="77" t="s">
        <v>373</v>
      </c>
      <c r="F249" s="77" t="s">
        <v>105</v>
      </c>
      <c r="G249" s="77" t="s">
        <v>192</v>
      </c>
      <c r="H249" s="78">
        <v>2</v>
      </c>
      <c r="I249" s="149"/>
      <c r="J249" s="151"/>
      <c r="K249" s="147" t="str">
        <f t="shared" si="5"/>
        <v/>
      </c>
      <c r="L249" s="112" t="s">
        <v>193</v>
      </c>
      <c r="M249" s="113" t="s">
        <v>193</v>
      </c>
      <c r="N249" s="113">
        <v>52397</v>
      </c>
      <c r="O249" s="113" t="s">
        <v>65</v>
      </c>
    </row>
    <row r="250" spans="2:15" x14ac:dyDescent="0.25">
      <c r="B250" s="84" t="s">
        <v>515</v>
      </c>
      <c r="C250" s="129" t="s">
        <v>516</v>
      </c>
      <c r="D250" s="76" t="s">
        <v>330</v>
      </c>
      <c r="E250" s="77" t="s">
        <v>237</v>
      </c>
      <c r="F250" s="77" t="s">
        <v>105</v>
      </c>
      <c r="G250" s="77" t="s">
        <v>192</v>
      </c>
      <c r="H250" s="78">
        <v>2</v>
      </c>
      <c r="I250" s="149"/>
      <c r="J250" s="151"/>
      <c r="K250" s="147" t="str">
        <f t="shared" si="5"/>
        <v/>
      </c>
      <c r="L250" s="112" t="s">
        <v>193</v>
      </c>
      <c r="M250" s="113" t="s">
        <v>193</v>
      </c>
      <c r="N250" s="113">
        <v>53751</v>
      </c>
      <c r="O250" s="113" t="s">
        <v>65</v>
      </c>
    </row>
    <row r="251" spans="2:15" x14ac:dyDescent="0.25">
      <c r="B251" s="83" t="s">
        <v>517</v>
      </c>
      <c r="C251" s="130"/>
      <c r="D251" s="80"/>
      <c r="E251" s="81"/>
      <c r="F251" s="81"/>
      <c r="G251" s="81"/>
      <c r="H251" s="82"/>
      <c r="I251" s="149"/>
      <c r="J251" s="151"/>
      <c r="K251" s="147" t="str">
        <f t="shared" si="5"/>
        <v/>
      </c>
      <c r="L251" s="111"/>
      <c r="M251" s="89"/>
      <c r="O251" s="89"/>
    </row>
    <row r="252" spans="2:15" x14ac:dyDescent="0.25">
      <c r="B252" s="84" t="s">
        <v>518</v>
      </c>
      <c r="C252" s="129" t="s">
        <v>519</v>
      </c>
      <c r="D252" s="80"/>
      <c r="E252" s="77" t="s">
        <v>520</v>
      </c>
      <c r="F252" s="77" t="s">
        <v>105</v>
      </c>
      <c r="G252" s="77" t="s">
        <v>261</v>
      </c>
      <c r="H252" s="78">
        <v>1</v>
      </c>
      <c r="I252" s="149"/>
      <c r="J252" s="151"/>
      <c r="K252" s="147" t="str">
        <f t="shared" si="5"/>
        <v/>
      </c>
      <c r="L252" s="112" t="s">
        <v>262</v>
      </c>
      <c r="M252" s="113" t="s">
        <v>262</v>
      </c>
      <c r="N252" s="113">
        <v>51943</v>
      </c>
      <c r="O252" s="113" t="s">
        <v>517</v>
      </c>
    </row>
    <row r="253" spans="2:15" x14ac:dyDescent="0.25">
      <c r="B253" s="84" t="s">
        <v>518</v>
      </c>
      <c r="C253" s="129" t="s">
        <v>519</v>
      </c>
      <c r="D253" s="80"/>
      <c r="E253" s="77" t="s">
        <v>521</v>
      </c>
      <c r="F253" s="77" t="s">
        <v>105</v>
      </c>
      <c r="G253" s="77" t="s">
        <v>357</v>
      </c>
      <c r="H253" s="78">
        <v>1</v>
      </c>
      <c r="I253" s="149"/>
      <c r="J253" s="151"/>
      <c r="K253" s="147" t="str">
        <f t="shared" si="5"/>
        <v/>
      </c>
      <c r="L253" s="112" t="s">
        <v>358</v>
      </c>
      <c r="M253" s="113" t="s">
        <v>358</v>
      </c>
      <c r="N253" s="113">
        <v>53292</v>
      </c>
      <c r="O253" s="113" t="s">
        <v>517</v>
      </c>
    </row>
    <row r="254" spans="2:15" x14ac:dyDescent="0.25">
      <c r="B254" s="84" t="s">
        <v>518</v>
      </c>
      <c r="C254" s="129" t="s">
        <v>519</v>
      </c>
      <c r="D254" s="80"/>
      <c r="E254" s="77" t="s">
        <v>522</v>
      </c>
      <c r="F254" s="77" t="s">
        <v>105</v>
      </c>
      <c r="G254" s="77" t="s">
        <v>523</v>
      </c>
      <c r="H254" s="78">
        <v>3</v>
      </c>
      <c r="I254" s="149"/>
      <c r="J254" s="151"/>
      <c r="K254" s="147" t="str">
        <f t="shared" si="5"/>
        <v/>
      </c>
      <c r="L254" s="112" t="s">
        <v>524</v>
      </c>
      <c r="M254" s="113" t="s">
        <v>524</v>
      </c>
      <c r="N254" s="113">
        <v>54499</v>
      </c>
      <c r="O254" s="113" t="s">
        <v>517</v>
      </c>
    </row>
    <row r="255" spans="2:15" x14ac:dyDescent="0.25">
      <c r="B255" s="84" t="s">
        <v>525</v>
      </c>
      <c r="C255" s="129" t="s">
        <v>526</v>
      </c>
      <c r="D255" s="76" t="s">
        <v>330</v>
      </c>
      <c r="E255" s="77" t="s">
        <v>237</v>
      </c>
      <c r="F255" s="77" t="s">
        <v>105</v>
      </c>
      <c r="G255" s="77" t="s">
        <v>124</v>
      </c>
      <c r="H255" s="78">
        <v>1</v>
      </c>
      <c r="I255" s="149"/>
      <c r="J255" s="151"/>
      <c r="K255" s="147" t="str">
        <f t="shared" si="5"/>
        <v/>
      </c>
      <c r="L255" s="112" t="s">
        <v>125</v>
      </c>
      <c r="M255" s="113" t="s">
        <v>125</v>
      </c>
      <c r="N255" s="113">
        <v>53293</v>
      </c>
      <c r="O255" s="113" t="s">
        <v>517</v>
      </c>
    </row>
    <row r="256" spans="2:15" x14ac:dyDescent="0.25">
      <c r="B256" s="84" t="s">
        <v>525</v>
      </c>
      <c r="C256" s="129" t="s">
        <v>526</v>
      </c>
      <c r="D256" s="76" t="s">
        <v>291</v>
      </c>
      <c r="E256" s="77" t="s">
        <v>527</v>
      </c>
      <c r="F256" s="77" t="s">
        <v>105</v>
      </c>
      <c r="G256" s="77" t="s">
        <v>274</v>
      </c>
      <c r="H256" s="78">
        <v>1</v>
      </c>
      <c r="I256" s="149"/>
      <c r="J256" s="151"/>
      <c r="K256" s="147" t="str">
        <f t="shared" si="5"/>
        <v/>
      </c>
      <c r="L256" s="112" t="s">
        <v>275</v>
      </c>
      <c r="M256" s="113" t="s">
        <v>275</v>
      </c>
      <c r="N256" s="113">
        <v>54500</v>
      </c>
      <c r="O256" s="113" t="s">
        <v>517</v>
      </c>
    </row>
    <row r="257" spans="2:15" x14ac:dyDescent="0.25">
      <c r="B257" s="83" t="s">
        <v>63</v>
      </c>
      <c r="C257" s="130"/>
      <c r="D257" s="80"/>
      <c r="E257" s="81"/>
      <c r="F257" s="81"/>
      <c r="G257" s="81"/>
      <c r="H257" s="82"/>
      <c r="I257" s="149"/>
      <c r="J257" s="151"/>
      <c r="K257" s="147" t="str">
        <f t="shared" si="5"/>
        <v/>
      </c>
      <c r="L257" s="111"/>
      <c r="M257" s="89"/>
      <c r="O257" s="89"/>
    </row>
    <row r="258" spans="2:15" x14ac:dyDescent="0.25">
      <c r="B258" s="84" t="s">
        <v>528</v>
      </c>
      <c r="C258" s="129" t="s">
        <v>529</v>
      </c>
      <c r="D258" s="80"/>
      <c r="E258" s="77" t="s">
        <v>498</v>
      </c>
      <c r="F258" s="77" t="s">
        <v>105</v>
      </c>
      <c r="G258" s="77" t="s">
        <v>135</v>
      </c>
      <c r="H258" s="78">
        <v>1</v>
      </c>
      <c r="I258" s="149"/>
      <c r="J258" s="151"/>
      <c r="K258" s="147" t="str">
        <f t="shared" si="5"/>
        <v/>
      </c>
      <c r="L258" s="112" t="s">
        <v>136</v>
      </c>
      <c r="M258" s="113" t="s">
        <v>136</v>
      </c>
      <c r="N258" s="113">
        <v>55381</v>
      </c>
      <c r="O258" s="113" t="s">
        <v>63</v>
      </c>
    </row>
    <row r="259" spans="2:15" x14ac:dyDescent="0.25">
      <c r="B259" s="84" t="s">
        <v>530</v>
      </c>
      <c r="C259" s="129" t="s">
        <v>531</v>
      </c>
      <c r="D259" s="80"/>
      <c r="E259" s="77" t="s">
        <v>285</v>
      </c>
      <c r="F259" s="77" t="s">
        <v>105</v>
      </c>
      <c r="G259" s="77" t="s">
        <v>156</v>
      </c>
      <c r="H259" s="78">
        <v>14</v>
      </c>
      <c r="I259" s="149"/>
      <c r="J259" s="151"/>
      <c r="K259" s="147" t="str">
        <f t="shared" si="5"/>
        <v/>
      </c>
      <c r="L259" s="112" t="s">
        <v>157</v>
      </c>
      <c r="M259" s="113" t="s">
        <v>157</v>
      </c>
      <c r="N259" s="113">
        <v>51270</v>
      </c>
      <c r="O259" s="113" t="s">
        <v>63</v>
      </c>
    </row>
    <row r="260" spans="2:15" x14ac:dyDescent="0.25">
      <c r="B260" s="84" t="s">
        <v>530</v>
      </c>
      <c r="C260" s="129" t="s">
        <v>531</v>
      </c>
      <c r="D260" s="80"/>
      <c r="E260" s="77" t="s">
        <v>288</v>
      </c>
      <c r="F260" s="77" t="s">
        <v>105</v>
      </c>
      <c r="G260" s="77" t="s">
        <v>156</v>
      </c>
      <c r="H260" s="78">
        <v>12</v>
      </c>
      <c r="I260" s="149"/>
      <c r="J260" s="151"/>
      <c r="K260" s="147" t="str">
        <f t="shared" si="5"/>
        <v/>
      </c>
      <c r="L260" s="112" t="s">
        <v>157</v>
      </c>
      <c r="M260" s="113" t="s">
        <v>157</v>
      </c>
      <c r="N260" s="113">
        <v>52613</v>
      </c>
      <c r="O260" s="113" t="s">
        <v>63</v>
      </c>
    </row>
    <row r="261" spans="2:15" x14ac:dyDescent="0.25">
      <c r="B261" s="83" t="s">
        <v>61</v>
      </c>
      <c r="C261" s="130"/>
      <c r="D261" s="80"/>
      <c r="E261" s="81"/>
      <c r="F261" s="81"/>
      <c r="G261" s="81"/>
      <c r="H261" s="82"/>
      <c r="I261" s="149"/>
      <c r="J261" s="151"/>
      <c r="K261" s="147" t="str">
        <f t="shared" si="5"/>
        <v/>
      </c>
      <c r="L261" s="111"/>
      <c r="M261" s="89"/>
      <c r="O261" s="89"/>
    </row>
    <row r="262" spans="2:15" x14ac:dyDescent="0.25">
      <c r="B262" s="84" t="s">
        <v>532</v>
      </c>
      <c r="C262" s="129" t="s">
        <v>533</v>
      </c>
      <c r="D262" s="80"/>
      <c r="E262" s="77" t="s">
        <v>185</v>
      </c>
      <c r="F262" s="77" t="s">
        <v>105</v>
      </c>
      <c r="G262" s="77" t="s">
        <v>534</v>
      </c>
      <c r="H262" s="78">
        <v>10</v>
      </c>
      <c r="I262" s="149"/>
      <c r="J262" s="151"/>
      <c r="K262" s="147" t="str">
        <f t="shared" si="5"/>
        <v/>
      </c>
      <c r="L262" s="112" t="s">
        <v>535</v>
      </c>
      <c r="M262" s="113" t="s">
        <v>535</v>
      </c>
      <c r="N262" s="113">
        <v>50575</v>
      </c>
      <c r="O262" s="113" t="s">
        <v>61</v>
      </c>
    </row>
    <row r="263" spans="2:15" x14ac:dyDescent="0.25">
      <c r="B263" s="84" t="s">
        <v>532</v>
      </c>
      <c r="C263" s="129" t="s">
        <v>533</v>
      </c>
      <c r="D263" s="80"/>
      <c r="E263" s="77" t="s">
        <v>186</v>
      </c>
      <c r="F263" s="77" t="s">
        <v>105</v>
      </c>
      <c r="G263" s="77" t="s">
        <v>536</v>
      </c>
      <c r="H263" s="78">
        <v>10</v>
      </c>
      <c r="I263" s="149"/>
      <c r="J263" s="151"/>
      <c r="K263" s="147" t="str">
        <f t="shared" si="5"/>
        <v/>
      </c>
      <c r="L263" s="112" t="s">
        <v>537</v>
      </c>
      <c r="M263" s="113" t="s">
        <v>537</v>
      </c>
      <c r="N263" s="113">
        <v>51907</v>
      </c>
      <c r="O263" s="113" t="s">
        <v>61</v>
      </c>
    </row>
    <row r="264" spans="2:15" x14ac:dyDescent="0.25">
      <c r="B264" s="84" t="s">
        <v>532</v>
      </c>
      <c r="C264" s="129" t="s">
        <v>533</v>
      </c>
      <c r="D264" s="80"/>
      <c r="E264" s="77" t="s">
        <v>279</v>
      </c>
      <c r="F264" s="77" t="s">
        <v>105</v>
      </c>
      <c r="G264" s="77" t="s">
        <v>536</v>
      </c>
      <c r="H264" s="78">
        <v>10</v>
      </c>
      <c r="I264" s="149"/>
      <c r="J264" s="151"/>
      <c r="K264" s="147" t="str">
        <f t="shared" ref="K264:K276" si="6">IF(ISNUMBER(I264),I264 * L264,"")</f>
        <v/>
      </c>
      <c r="L264" s="112" t="s">
        <v>537</v>
      </c>
      <c r="M264" s="113" t="s">
        <v>537</v>
      </c>
      <c r="N264" s="113">
        <v>53255</v>
      </c>
      <c r="O264" s="113" t="s">
        <v>61</v>
      </c>
    </row>
    <row r="265" spans="2:15" x14ac:dyDescent="0.25">
      <c r="B265" s="84"/>
      <c r="C265" s="129"/>
      <c r="D265" s="80"/>
      <c r="E265" s="77"/>
      <c r="F265" s="77"/>
      <c r="G265" s="77"/>
      <c r="H265" s="78"/>
      <c r="I265" s="149"/>
      <c r="J265" s="151"/>
      <c r="K265" s="147" t="str">
        <f t="shared" si="6"/>
        <v/>
      </c>
      <c r="L265" s="112"/>
      <c r="M265" s="113"/>
      <c r="N265" s="113"/>
      <c r="O265" s="113"/>
    </row>
    <row r="266" spans="2:15" x14ac:dyDescent="0.25">
      <c r="B266" s="79" t="s">
        <v>538</v>
      </c>
      <c r="C266" s="130"/>
      <c r="D266" s="80"/>
      <c r="E266" s="81"/>
      <c r="F266" s="81"/>
      <c r="G266" s="81"/>
      <c r="H266" s="82"/>
      <c r="I266" s="149"/>
      <c r="J266" s="151"/>
      <c r="K266" s="147" t="str">
        <f t="shared" si="6"/>
        <v/>
      </c>
      <c r="L266" s="111"/>
      <c r="M266" s="89"/>
      <c r="O266" s="89"/>
    </row>
    <row r="267" spans="2:15" x14ac:dyDescent="0.25">
      <c r="B267" s="83" t="s">
        <v>44</v>
      </c>
      <c r="C267" s="130"/>
      <c r="D267" s="80"/>
      <c r="E267" s="81"/>
      <c r="F267" s="81"/>
      <c r="G267" s="81"/>
      <c r="H267" s="82"/>
      <c r="I267" s="149"/>
      <c r="J267" s="151"/>
      <c r="K267" s="147" t="str">
        <f t="shared" si="6"/>
        <v/>
      </c>
      <c r="L267" s="111"/>
      <c r="M267" s="89"/>
      <c r="O267" s="89"/>
    </row>
    <row r="268" spans="2:15" x14ac:dyDescent="0.25">
      <c r="B268" s="84" t="s">
        <v>539</v>
      </c>
      <c r="C268" s="129" t="s">
        <v>540</v>
      </c>
      <c r="D268" s="76" t="s">
        <v>265</v>
      </c>
      <c r="E268" s="77" t="s">
        <v>210</v>
      </c>
      <c r="F268" s="77" t="s">
        <v>105</v>
      </c>
      <c r="G268" s="77" t="s">
        <v>158</v>
      </c>
      <c r="H268" s="78">
        <v>50</v>
      </c>
      <c r="I268" s="149"/>
      <c r="J268" s="151"/>
      <c r="K268" s="147" t="str">
        <f t="shared" si="6"/>
        <v/>
      </c>
      <c r="L268" s="112" t="s">
        <v>159</v>
      </c>
      <c r="M268" s="113" t="s">
        <v>159</v>
      </c>
      <c r="N268" s="113">
        <v>51721</v>
      </c>
      <c r="O268" s="113" t="s">
        <v>44</v>
      </c>
    </row>
    <row r="269" spans="2:15" x14ac:dyDescent="0.25">
      <c r="B269" s="85"/>
      <c r="C269" s="130"/>
      <c r="D269" s="80"/>
      <c r="E269" s="81"/>
      <c r="F269" s="81"/>
      <c r="G269" s="81"/>
      <c r="H269" s="82"/>
      <c r="I269" s="149"/>
      <c r="J269" s="151"/>
      <c r="K269" s="147" t="str">
        <f t="shared" si="6"/>
        <v/>
      </c>
      <c r="L269" s="111"/>
      <c r="M269" s="89"/>
      <c r="O269" s="89"/>
    </row>
    <row r="270" spans="2:15" x14ac:dyDescent="0.25">
      <c r="B270" s="85"/>
      <c r="C270" s="130"/>
      <c r="D270" s="80"/>
      <c r="E270" s="81"/>
      <c r="F270" s="81"/>
      <c r="G270" s="81"/>
      <c r="H270" s="82"/>
      <c r="I270" s="149"/>
      <c r="J270" s="151"/>
      <c r="K270" s="147" t="str">
        <f t="shared" si="6"/>
        <v/>
      </c>
      <c r="L270" s="111"/>
      <c r="M270" s="89"/>
      <c r="O270" s="89"/>
    </row>
    <row r="271" spans="2:15" x14ac:dyDescent="0.25">
      <c r="B271" s="85"/>
      <c r="C271" s="130"/>
      <c r="D271" s="80"/>
      <c r="E271" s="81"/>
      <c r="F271" s="81"/>
      <c r="G271" s="81"/>
      <c r="H271" s="82"/>
      <c r="I271" s="149"/>
      <c r="J271" s="151"/>
      <c r="K271" s="147" t="str">
        <f t="shared" si="6"/>
        <v/>
      </c>
      <c r="L271" s="111"/>
      <c r="M271" s="89"/>
      <c r="O271" s="89"/>
    </row>
    <row r="272" spans="2:15" x14ac:dyDescent="0.25">
      <c r="B272" s="85"/>
      <c r="C272" s="130"/>
      <c r="D272" s="80"/>
      <c r="E272" s="81"/>
      <c r="F272" s="81"/>
      <c r="G272" s="81"/>
      <c r="H272" s="82"/>
      <c r="I272" s="149"/>
      <c r="J272" s="151"/>
      <c r="K272" s="147" t="str">
        <f t="shared" si="6"/>
        <v/>
      </c>
      <c r="L272" s="111"/>
      <c r="M272" s="89"/>
      <c r="O272" s="89"/>
    </row>
    <row r="273" spans="2:15" x14ac:dyDescent="0.25">
      <c r="B273" s="85"/>
      <c r="C273" s="130"/>
      <c r="D273" s="80"/>
      <c r="E273" s="81"/>
      <c r="F273" s="81"/>
      <c r="G273" s="81"/>
      <c r="H273" s="82"/>
      <c r="I273" s="149"/>
      <c r="J273" s="151"/>
      <c r="K273" s="147" t="str">
        <f t="shared" si="6"/>
        <v/>
      </c>
      <c r="L273" s="111"/>
      <c r="M273" s="89"/>
      <c r="O273" s="89"/>
    </row>
    <row r="274" spans="2:15" x14ac:dyDescent="0.25">
      <c r="B274" s="85"/>
      <c r="C274" s="130"/>
      <c r="D274" s="80"/>
      <c r="E274" s="81"/>
      <c r="F274" s="81"/>
      <c r="G274" s="81"/>
      <c r="H274" s="82"/>
      <c r="I274" s="149"/>
      <c r="J274" s="151"/>
      <c r="K274" s="147" t="str">
        <f t="shared" si="6"/>
        <v/>
      </c>
      <c r="L274" s="111"/>
      <c r="M274" s="89"/>
      <c r="O274" s="89"/>
    </row>
    <row r="275" spans="2:15" x14ac:dyDescent="0.25">
      <c r="B275" s="85"/>
      <c r="C275" s="130"/>
      <c r="D275" s="80"/>
      <c r="E275" s="81"/>
      <c r="F275" s="81"/>
      <c r="G275" s="81"/>
      <c r="H275" s="82"/>
      <c r="I275" s="149"/>
      <c r="J275" s="151"/>
      <c r="K275" s="147" t="str">
        <f t="shared" si="6"/>
        <v/>
      </c>
      <c r="L275" s="111"/>
      <c r="M275" s="89"/>
      <c r="O275" s="89"/>
    </row>
    <row r="276" spans="2:15" x14ac:dyDescent="0.25">
      <c r="B276" s="85"/>
      <c r="C276" s="130"/>
      <c r="D276" s="80"/>
      <c r="E276" s="81"/>
      <c r="F276" s="81"/>
      <c r="G276" s="81"/>
      <c r="H276" s="82"/>
      <c r="I276" s="149"/>
      <c r="J276" s="151"/>
      <c r="K276" s="147" t="str">
        <f t="shared" si="6"/>
        <v/>
      </c>
      <c r="L276" s="111"/>
      <c r="M276" s="89"/>
      <c r="O276" s="89"/>
    </row>
  </sheetData>
  <sheetProtection algorithmName="SHA-512" hashValue="AYIxW7Ke90Wcs1gqO7cmXiG3jFMLPVU6ZF1oGdG4WUg0QTaaRdFlQ/KCFTruXBcdvUmfoyPR2JeFalqpbw+38A==" saltValue="Ke7i5RZv0N00M38YCJh1pw==" spinCount="100000" sheet="1" objects="1" scenarios="1"/>
  <mergeCells count="2">
    <mergeCell ref="N2:O2"/>
    <mergeCell ref="C25:D27"/>
  </mergeCells>
  <dataValidations count="2">
    <dataValidation type="list" allowBlank="1" showInputMessage="1" showErrorMessage="1" error="Enter either 'y' or 'n'." sqref="C22:C23 F22:F23" xr:uid="{00000000-0002-0000-0000-000001000000}">
      <formula1 xml:space="preserve"> YesNo</formula1>
    </dataValidation>
    <dataValidation type="whole" allowBlank="1" showInputMessage="1" showErrorMessage="1" errorTitle="Numeric data" error="Enter whole numbers only. Put comments in the next column." sqref="I28:I1048576" xr:uid="{00000000-0002-0000-0000-000000000000}">
      <formula1>0</formula1>
      <formula2>1000</formula2>
    </dataValidation>
  </dataValidations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4" name="Button 12">
              <controlPr locked="0" defaultSize="0" print="0" autoFill="0" autoPict="0" macro="[0]!ThisWorkbook.Remove_Filters">
                <anchor moveWithCells="1" sizeWithCells="1">
                  <from>
                    <xdr:col>13</xdr:col>
                    <xdr:colOff>60960</xdr:colOff>
                    <xdr:row>1</xdr:row>
                    <xdr:rowOff>144780</xdr:rowOff>
                  </from>
                  <to>
                    <xdr:col>14</xdr:col>
                    <xdr:colOff>632460</xdr:colOff>
                    <xdr:row>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" name="Drop Down 26">
              <controlPr locked="0" defaultSize="0" autoLine="0" autoPict="0" macro="[0]!ThisWorkbook.DropDown26_Change">
                <anchor moveWithCells="1">
                  <from>
                    <xdr:col>13</xdr:col>
                    <xdr:colOff>0</xdr:colOff>
                    <xdr:row>4</xdr:row>
                    <xdr:rowOff>30480</xdr:rowOff>
                  </from>
                  <to>
                    <xdr:col>14</xdr:col>
                    <xdr:colOff>670560</xdr:colOff>
                    <xdr:row>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6" name="Button 27">
              <controlPr locked="0" defaultSize="0" print="0" autoFill="0" autoPict="0" macro="[0]!ThisWorkbook.Show_Order">
                <anchor moveWithCells="1" sizeWithCells="1">
                  <from>
                    <xdr:col>13</xdr:col>
                    <xdr:colOff>60960</xdr:colOff>
                    <xdr:row>2</xdr:row>
                    <xdr:rowOff>60960</xdr:rowOff>
                  </from>
                  <to>
                    <xdr:col>14</xdr:col>
                    <xdr:colOff>632460</xdr:colOff>
                    <xdr:row>3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7" name="Drop Down 30">
              <controlPr locked="0" defaultSize="0" autoLine="0" autoPict="0" macro="[0]!ThisWorkbook.Goto_Fishes">
                <anchor moveWithCells="1">
                  <from>
                    <xdr:col>13</xdr:col>
                    <xdr:colOff>0</xdr:colOff>
                    <xdr:row>6</xdr:row>
                    <xdr:rowOff>30480</xdr:rowOff>
                  </from>
                  <to>
                    <xdr:col>14</xdr:col>
                    <xdr:colOff>670560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Stocklist</vt:lpstr>
      <vt:lpstr>yes_no</vt:lpstr>
      <vt:lpstr>Stocklist!YesNo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Goldman</dc:creator>
  <cp:lastModifiedBy>David Riley</cp:lastModifiedBy>
  <dcterms:created xsi:type="dcterms:W3CDTF">2016-08-07T00:38:09Z</dcterms:created>
  <dcterms:modified xsi:type="dcterms:W3CDTF">2026-04-08T06:49:04Z</dcterms:modified>
</cp:coreProperties>
</file>