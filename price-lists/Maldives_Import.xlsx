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Maldives Stock List"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b val="1"/>
      <sz val="12"/>
    </font>
    <font>
      <name val="Arial"/>
      <charset val="1"/>
      <family val="0"/>
      <b val="1"/>
      <sz val="10"/>
    </font>
    <font>
      <name val="Arial"/>
      <charset val="1"/>
      <family val="0"/>
      <b val="1"/>
      <sz val="11"/>
    </font>
    <font>
      <name val="Arial"/>
      <charset val="1"/>
      <family val="0"/>
      <sz val="10"/>
    </font>
    <font>
      <name val="Arial"/>
      <b val="1"/>
      <sz val="10"/>
    </font>
    <font>
      <name val="Arial"/>
      <i val="1"/>
      <sz val="10"/>
    </font>
  </fonts>
  <fills count="2">
    <fill>
      <patternFill/>
    </fill>
    <fill>
      <patternFill patternType="gray125"/>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5">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pivotButton="0" quotePrefix="0" xfId="0"/>
    <xf numFmtId="0" fontId="10"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F27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5" customWidth="1" style="6" min="1" max="1"/>
    <col width="5" customWidth="1" style="6" min="2" max="2"/>
    <col width="40" customWidth="1" style="6" min="3" max="3"/>
    <col width="8" customWidth="1" style="6" min="4" max="4"/>
    <col width="18" customWidth="1" style="6" min="5" max="5"/>
    <col width="8" customWidth="1" style="6" min="6" max="6"/>
  </cols>
  <sheetData>
    <row r="1" ht="17.35" customHeight="1" s="7">
      <c r="A1" s="8" t="inlineStr">
        <is>
          <t>Maldives shipment</t>
        </is>
      </c>
      <c r="C1" s="9" t="inlineStr">
        <is>
          <t>Landing 12th March</t>
        </is>
      </c>
    </row>
    <row r="3" ht="15" customHeight="1" s="7">
      <c r="C3" s="9" t="inlineStr">
        <is>
          <t>Order deadline 4pm 26th February</t>
        </is>
      </c>
    </row>
    <row r="5" ht="15" customHeight="1" s="7">
      <c r="C5" s="10" t="inlineStr">
        <is>
          <t>Freight, documentation and delivery:</t>
        </is>
      </c>
      <c r="E5" s="10" t="inlineStr">
        <is>
          <t>£225.00 PER BOX</t>
        </is>
      </c>
    </row>
    <row r="7" ht="15" customHeight="1" s="7">
      <c r="A7" s="10" t="inlineStr">
        <is>
          <t>Common name</t>
        </is>
      </c>
      <c r="C7" s="10" t="inlineStr">
        <is>
          <t>Scientific name</t>
        </is>
      </c>
      <c r="D7" s="10" t="inlineStr">
        <is>
          <t>units</t>
        </is>
      </c>
      <c r="E7" s="10" t="inlineStr">
        <is>
          <t>price</t>
        </is>
      </c>
      <c r="F7" s="10" t="inlineStr">
        <is>
          <t>total</t>
        </is>
      </c>
    </row>
    <row r="9" ht="15" customHeight="1" s="7">
      <c r="A9" s="11" t="inlineStr">
        <is>
          <t>Angel Fish</t>
        </is>
      </c>
    </row>
    <row r="11" ht="15" customHeight="1" s="7">
      <c r="A11" s="12" t="inlineStr">
        <is>
          <t>Threespot Angel fish (Small 3-6cm)</t>
        </is>
      </c>
      <c r="C11" s="12" t="inlineStr">
        <is>
          <t>Apolemichthys trimaculatus</t>
        </is>
      </c>
      <c r="E11" s="12" t="n">
        <v>12.5</v>
      </c>
      <c r="F11" s="12">
        <f>IF(D11="",0,D11*E11)</f>
        <v/>
      </c>
    </row>
    <row r="12" ht="15" customHeight="1" s="7">
      <c r="A12" s="12" t="inlineStr">
        <is>
          <t>Bluefin Angelfish/Many Spined Angelfish</t>
        </is>
      </c>
      <c r="C12" s="12" t="inlineStr">
        <is>
          <t>Centropyge multipispinis</t>
        </is>
      </c>
      <c r="E12" s="12" t="n">
        <v>2.5</v>
      </c>
      <c r="F12" s="12">
        <f>IF(D12="",0,D12*E12)</f>
        <v/>
      </c>
    </row>
    <row r="13" ht="15" customHeight="1" s="7">
      <c r="A13" s="12" t="inlineStr">
        <is>
          <t>Emperor Angel fish (Small)</t>
        </is>
      </c>
      <c r="C13" s="12" t="inlineStr">
        <is>
          <t>Pomacanthus imperator</t>
        </is>
      </c>
      <c r="E13" s="12" t="n">
        <v>12.5</v>
      </c>
      <c r="F13" s="12">
        <f>IF(D13="",0,D13*E13)</f>
        <v/>
      </c>
    </row>
    <row r="14" ht="15" customHeight="1" s="7">
      <c r="A14" s="12" t="inlineStr">
        <is>
          <t>Emperor Angel fish (Small 8-13cm)</t>
        </is>
      </c>
      <c r="C14" s="12" t="inlineStr">
        <is>
          <t>Pomacanthus imperator</t>
        </is>
      </c>
      <c r="E14" s="12" t="n">
        <v>18.75</v>
      </c>
      <c r="F14" s="12">
        <f>IF(D14="",0,D14*E14)</f>
        <v/>
      </c>
    </row>
    <row r="15" ht="15" customHeight="1" s="7">
      <c r="A15" s="12" t="inlineStr">
        <is>
          <t>Emperor Angel fish (Large 14-25cm)</t>
        </is>
      </c>
      <c r="C15" s="12" t="inlineStr">
        <is>
          <t>Pomacanthus imperator</t>
        </is>
      </c>
      <c r="E15" s="12" t="n">
        <v>25</v>
      </c>
      <c r="F15" s="12">
        <f>IF(D15="",0,D15*E15)</f>
        <v/>
      </c>
    </row>
    <row r="16" ht="15" customHeight="1" s="7">
      <c r="A16" s="12" t="inlineStr">
        <is>
          <t>Blueface Angelfish (Small/Medium)*</t>
        </is>
      </c>
      <c r="C16" s="12" t="inlineStr">
        <is>
          <t>Pomacanthus xanthometopon</t>
        </is>
      </c>
      <c r="E16" s="12" t="n">
        <v>75</v>
      </c>
      <c r="F16" s="12">
        <f>IF(D16="",0,D16*E16)</f>
        <v/>
      </c>
    </row>
    <row r="17" ht="15" customHeight="1" s="7">
      <c r="A17" s="12" t="inlineStr">
        <is>
          <t>Blueface Angelfish (Adult)</t>
        </is>
      </c>
      <c r="C17" s="12" t="inlineStr">
        <is>
          <t>Pomacanthus xanthometopon</t>
        </is>
      </c>
      <c r="E17" s="12" t="n">
        <v>81.25</v>
      </c>
      <c r="F17" s="12">
        <f>IF(D17="",0,D17*E17)</f>
        <v/>
      </c>
    </row>
    <row r="18" ht="15" customHeight="1" s="7">
      <c r="A18" s="12" t="inlineStr">
        <is>
          <t>Regal Angelfish (Large 13cm above)</t>
        </is>
      </c>
      <c r="C18" s="12" t="inlineStr">
        <is>
          <t>Pygoplites diacanthus</t>
        </is>
      </c>
      <c r="E18" s="12" t="n">
        <v>31.25</v>
      </c>
      <c r="F18" s="12">
        <f>IF(D18="",0,D18*E18)</f>
        <v/>
      </c>
    </row>
    <row r="19" ht="15" customHeight="1" s="7">
      <c r="A19" s="12" t="inlineStr">
        <is>
          <t>Regal Angelfish (Small 9-12cm)</t>
        </is>
      </c>
      <c r="C19" s="12" t="inlineStr">
        <is>
          <t>Pygoplites diacanthus</t>
        </is>
      </c>
      <c r="E19" s="12" t="n">
        <v>47.5</v>
      </c>
      <c r="F19" s="12">
        <f>IF(D19="",0,D19*E19)</f>
        <v/>
      </c>
    </row>
    <row r="20" ht="15" customHeight="1" s="7">
      <c r="A20" s="12" t="inlineStr">
        <is>
          <t>Regal Angelfish (Juvenile Under 9cm)</t>
        </is>
      </c>
      <c r="C20" s="12" t="inlineStr">
        <is>
          <t>Pygoplites diacanthus</t>
        </is>
      </c>
      <c r="E20" s="12" t="n">
        <v>50</v>
      </c>
      <c r="F20" s="12">
        <f>IF(D20="",0,D20*E20)</f>
        <v/>
      </c>
    </row>
    <row r="21" ht="15" customHeight="1" s="7">
      <c r="A21" s="12" t="inlineStr">
        <is>
          <t>Smoke Angelfish (Small 3-8cm)</t>
        </is>
      </c>
      <c r="C21" s="12" t="inlineStr">
        <is>
          <t>Apolemichthys xanthurus</t>
        </is>
      </c>
      <c r="E21" s="12" t="n">
        <v>6.25</v>
      </c>
      <c r="F21" s="12">
        <f>IF(D21="",0,D21*E21)</f>
        <v/>
      </c>
    </row>
    <row r="22" ht="15" customHeight="1" s="7">
      <c r="A22" s="12" t="inlineStr">
        <is>
          <t>Hybrid Angelfish*</t>
        </is>
      </c>
      <c r="C22" s="12" t="inlineStr">
        <is>
          <t>Apolemichthys armitagei</t>
        </is>
      </c>
      <c r="E22" s="12" t="n">
        <v>337.5</v>
      </c>
      <c r="F22" s="12">
        <f>IF(D22="",0,D22*E22)</f>
        <v/>
      </c>
    </row>
    <row r="23" ht="15" customHeight="1" s="7">
      <c r="A23" s="12" t="inlineStr">
        <is>
          <t>Damsel Angelfish</t>
        </is>
      </c>
      <c r="C23" s="12" t="inlineStr">
        <is>
          <t>Centropyge flavicauda</t>
        </is>
      </c>
      <c r="E23" s="12" t="n">
        <v>10</v>
      </c>
      <c r="F23" s="12">
        <f>IF(D23="",0,D23*E23)</f>
        <v/>
      </c>
    </row>
    <row r="25" ht="15" customHeight="1" s="7">
      <c r="A25" s="11" t="inlineStr">
        <is>
          <t>Anthias/Basslet</t>
        </is>
      </c>
    </row>
    <row r="27" ht="15" customHeight="1" s="7">
      <c r="A27" s="12" t="inlineStr">
        <is>
          <t>Threadfin Anthias/Carberry Anthias (Female)</t>
        </is>
      </c>
      <c r="C27" s="12" t="inlineStr">
        <is>
          <t>Nemanthias carberryi</t>
        </is>
      </c>
      <c r="E27" s="12" t="n">
        <v>3.75</v>
      </c>
      <c r="F27" s="12">
        <f>IF(D27="",0,D27*E27)</f>
        <v/>
      </c>
    </row>
    <row r="28" ht="15" customHeight="1" s="7">
      <c r="A28" s="12" t="inlineStr">
        <is>
          <t>Threadfin Anthias/Carberry Anthias (Male)</t>
        </is>
      </c>
      <c r="C28" s="12" t="inlineStr">
        <is>
          <t>Nemanthias carberryi</t>
        </is>
      </c>
      <c r="E28" s="12" t="n">
        <v>3.75</v>
      </c>
      <c r="F28" s="12">
        <f>IF(D28="",0,D28*E28)</f>
        <v/>
      </c>
    </row>
    <row r="29" ht="15" customHeight="1" s="7">
      <c r="A29" s="12" t="inlineStr">
        <is>
          <t>Twinspot Anthias/Bimaculatus Anthias (Male)</t>
        </is>
      </c>
      <c r="C29" s="12" t="inlineStr">
        <is>
          <t>Pseudanthias bimaculatus</t>
        </is>
      </c>
      <c r="E29" s="12" t="n">
        <v>7.5</v>
      </c>
      <c r="F29" s="12">
        <f>IF(D29="",0,D29*E29)</f>
        <v/>
      </c>
    </row>
    <row r="30" ht="15" customHeight="1" s="7">
      <c r="A30" s="12" t="inlineStr">
        <is>
          <t>Twinspot Anthias/Bimaculatus Anthias (Female)</t>
        </is>
      </c>
      <c r="C30" s="12" t="inlineStr">
        <is>
          <t>Pseudanthias bimaculatus</t>
        </is>
      </c>
      <c r="E30" s="12" t="n">
        <v>6.25</v>
      </c>
      <c r="F30" s="12">
        <f>IF(D30="",0,D30*E30)</f>
        <v/>
      </c>
    </row>
    <row r="31" ht="15" customHeight="1" s="7">
      <c r="A31" s="12" t="inlineStr">
        <is>
          <t>Evansi Anthias/Yellow-tail Basslet (Male)</t>
        </is>
      </c>
      <c r="C31" s="12" t="inlineStr">
        <is>
          <t>Pseudanthias evansi</t>
        </is>
      </c>
      <c r="E31" s="12" t="n">
        <v>3.125</v>
      </c>
      <c r="F31" s="12">
        <f>IF(D31="",0,D31*E31)</f>
        <v/>
      </c>
    </row>
    <row r="32" ht="15" customHeight="1" s="7">
      <c r="A32" s="12" t="inlineStr">
        <is>
          <t>Evansi Anthias/Yellow-tail Basslet (Female)</t>
        </is>
      </c>
      <c r="C32" s="12" t="inlineStr">
        <is>
          <t>Pseudanthias evansi</t>
        </is>
      </c>
      <c r="E32" s="12" t="n">
        <v>3.125</v>
      </c>
      <c r="F32" s="12">
        <f>IF(D32="",0,D32*E32)</f>
        <v/>
      </c>
    </row>
    <row r="33" ht="15" customHeight="1" s="7">
      <c r="A33" s="12" t="inlineStr">
        <is>
          <t>Flame Anthias/Flame Basslet</t>
        </is>
      </c>
      <c r="C33" s="12" t="inlineStr">
        <is>
          <t>Pseudanthias ignitus</t>
        </is>
      </c>
      <c r="E33" s="12" t="n">
        <v>3.125</v>
      </c>
      <c r="F33" s="12">
        <f>IF(D33="",0,D33*E33)</f>
        <v/>
      </c>
    </row>
    <row r="34" ht="15" customHeight="1" s="7">
      <c r="A34" s="12" t="inlineStr">
        <is>
          <t>Parvirostris Anthias/Shortsnout Anthias (Male)</t>
        </is>
      </c>
      <c r="C34" s="12" t="inlineStr">
        <is>
          <t>Pseudanthias parvirostris</t>
        </is>
      </c>
      <c r="E34" s="12" t="n">
        <v>4.8125</v>
      </c>
      <c r="F34" s="12">
        <f>IF(D34="",0,D34*E34)</f>
        <v/>
      </c>
    </row>
    <row r="35" ht="15" customHeight="1" s="7">
      <c r="A35" s="12" t="inlineStr">
        <is>
          <t>Parvirostris Anthias/Shortsnout Anthias (Female)</t>
        </is>
      </c>
      <c r="C35" s="12" t="inlineStr">
        <is>
          <t>Pseudanthias parvirostris</t>
        </is>
      </c>
      <c r="E35" s="12" t="n">
        <v>4.8125</v>
      </c>
      <c r="F35" s="12">
        <f>IF(D35="",0,D35*E35)</f>
        <v/>
      </c>
    </row>
    <row r="36" ht="15" customHeight="1" s="7">
      <c r="A36" s="12" t="inlineStr">
        <is>
          <t>Resplendent Basslet/Resplendent Goldie (Male)</t>
        </is>
      </c>
      <c r="C36" s="12" t="inlineStr">
        <is>
          <t>Pseudanthias pulcherrimus</t>
        </is>
      </c>
      <c r="E36" s="12" t="n">
        <v>4.8125</v>
      </c>
      <c r="F36" s="12">
        <f>IF(D36="",0,D36*E36)</f>
        <v/>
      </c>
    </row>
    <row r="37" ht="15" customHeight="1" s="7">
      <c r="A37" s="12" t="inlineStr">
        <is>
          <t>Resplendent Basslet/Resplendent Goldie (Female)</t>
        </is>
      </c>
      <c r="C37" s="12" t="inlineStr">
        <is>
          <t>Pseudanthias pulcherrimus</t>
        </is>
      </c>
      <c r="E37" s="12" t="n">
        <v>4.8125</v>
      </c>
      <c r="F37" s="12">
        <f>IF(D37="",0,D37*E37)</f>
        <v/>
      </c>
    </row>
    <row r="38" ht="15" customHeight="1" s="7">
      <c r="A38" s="12" t="inlineStr">
        <is>
          <t>Scalefin Anthias/Orange Basslet (Male)</t>
        </is>
      </c>
      <c r="C38" s="12" t="inlineStr">
        <is>
          <t>Pseudanthias squamipinnis</t>
        </is>
      </c>
      <c r="E38" s="12" t="n">
        <v>2.3125</v>
      </c>
      <c r="F38" s="12">
        <f>IF(D38="",0,D38*E38)</f>
        <v/>
      </c>
    </row>
    <row r="39" ht="15" customHeight="1" s="7">
      <c r="A39" s="12" t="inlineStr">
        <is>
          <t>Scalefin Anthias/Orange Basslet (Female)</t>
        </is>
      </c>
      <c r="C39" s="12" t="inlineStr">
        <is>
          <t>Pseudanthias squamipinnis</t>
        </is>
      </c>
      <c r="E39" s="12" t="n">
        <v>1.875</v>
      </c>
      <c r="F39" s="12">
        <f>IF(D39="",0,D39*E39)</f>
        <v/>
      </c>
    </row>
    <row r="40" ht="15" customHeight="1" s="7">
      <c r="A40" s="12" t="inlineStr">
        <is>
          <t>Pink Basslet/Truncate Fairy Basslet</t>
        </is>
      </c>
      <c r="C40" s="12" t="inlineStr">
        <is>
          <t>Pseudanthias truncatus</t>
        </is>
      </c>
      <c r="E40" s="12" t="n">
        <v>4.375</v>
      </c>
      <c r="F40" s="12">
        <f>IF(D40="",0,D40*E40)</f>
        <v/>
      </c>
    </row>
    <row r="41" ht="15" customHeight="1" s="7">
      <c r="A41" s="12" t="inlineStr">
        <is>
          <t>Tricolor Anthias/Silver-streak goldie</t>
        </is>
      </c>
      <c r="C41" s="12" t="inlineStr">
        <is>
          <t>Pseudanthias kashiwae</t>
        </is>
      </c>
      <c r="E41" s="12" t="n">
        <v>3.75</v>
      </c>
      <c r="F41" s="12">
        <f>IF(D41="",0,D41*E41)</f>
        <v/>
      </c>
    </row>
    <row r="42" ht="15" customHeight="1" s="7">
      <c r="A42" s="12" t="inlineStr">
        <is>
          <t>Pink Basslet/Stocky Anthias (Male)</t>
        </is>
      </c>
      <c r="C42" s="12" t="inlineStr">
        <is>
          <t>Pseudanthias hypselosoma</t>
        </is>
      </c>
      <c r="E42" s="12" t="n">
        <v>4.375</v>
      </c>
      <c r="F42" s="12">
        <f>IF(D42="",0,D42*E42)</f>
        <v/>
      </c>
    </row>
    <row r="43" ht="15" customHeight="1" s="7">
      <c r="A43" s="12" t="inlineStr">
        <is>
          <t>Pink Basslet/Stocky Anthias</t>
        </is>
      </c>
      <c r="C43" s="12" t="inlineStr">
        <is>
          <t>Pseudanthias hypselosoma</t>
        </is>
      </c>
      <c r="E43" s="12" t="n">
        <v>4.375</v>
      </c>
      <c r="F43" s="12">
        <f>IF(D43="",0,D43*E43)</f>
        <v/>
      </c>
    </row>
    <row r="44" ht="15" customHeight="1" s="7">
      <c r="A44" s="12" t="inlineStr">
        <is>
          <t>Bicolour anthias</t>
        </is>
      </c>
      <c r="C44" s="12" t="inlineStr">
        <is>
          <t>Mirolabrichthys bicolour</t>
        </is>
      </c>
      <c r="E44" s="12" t="n">
        <v>6.25</v>
      </c>
      <c r="F44" s="12">
        <f>IF(D44="",0,D44*E44)</f>
        <v/>
      </c>
    </row>
    <row r="46" ht="15" customHeight="1" s="7">
      <c r="A46" s="11" t="inlineStr">
        <is>
          <t>Assorted</t>
        </is>
      </c>
    </row>
    <row r="48" ht="15" customHeight="1" s="7">
      <c r="A48" s="12" t="inlineStr">
        <is>
          <t>Starry Dragonet</t>
        </is>
      </c>
      <c r="C48" s="12" t="inlineStr">
        <is>
          <t>Synchiropus stellatus</t>
        </is>
      </c>
      <c r="E48" s="12" t="n">
        <v>3.75</v>
      </c>
      <c r="F48" s="12">
        <f>IF(D48="",0,D48*E48)</f>
        <v/>
      </c>
    </row>
    <row r="49" ht="15" customHeight="1" s="7">
      <c r="A49" s="12" t="inlineStr">
        <is>
          <t>Yellowsaddle Goatfish/Goldsaddle goatfish</t>
        </is>
      </c>
      <c r="C49" s="12" t="inlineStr">
        <is>
          <t>Parupeneus cyclostomus</t>
        </is>
      </c>
      <c r="E49" s="12" t="n">
        <v>3.125</v>
      </c>
      <c r="F49" s="12">
        <f>IF(D49="",0,D49*E49)</f>
        <v/>
      </c>
    </row>
    <row r="50" ht="15" customHeight="1" s="7">
      <c r="A50" s="12" t="inlineStr">
        <is>
          <t>Rosy goatfish, Black-saddle goatfish</t>
        </is>
      </c>
      <c r="C50" s="12" t="inlineStr">
        <is>
          <t>Parupeneus rubescens</t>
        </is>
      </c>
      <c r="E50" s="12" t="n">
        <v>3.125</v>
      </c>
      <c r="F50" s="12">
        <f>IF(D50="",0,D50*E50)</f>
        <v/>
      </c>
    </row>
    <row r="51" ht="15" customHeight="1" s="7">
      <c r="A51" s="12" t="inlineStr">
        <is>
          <t>Moorish Idol (Small 4-10cm)</t>
        </is>
      </c>
      <c r="C51" s="12" t="inlineStr">
        <is>
          <t>Zanclus cornutus</t>
        </is>
      </c>
      <c r="E51" s="12" t="n">
        <v>5</v>
      </c>
      <c r="F51" s="12">
        <f>IF(D51="",0,D51*E51)</f>
        <v/>
      </c>
    </row>
    <row r="52" ht="15" customHeight="1" s="7">
      <c r="A52" s="12" t="inlineStr">
        <is>
          <t>Bicolour parrotfish</t>
        </is>
      </c>
      <c r="C52" s="12" t="inlineStr">
        <is>
          <t>Cetoscarus bicolor</t>
        </is>
      </c>
      <c r="E52" s="12" t="n">
        <v>3.125</v>
      </c>
      <c r="F52" s="12">
        <f>IF(D52="",0,D52*E52)</f>
        <v/>
      </c>
    </row>
    <row r="53" ht="15" customHeight="1" s="7">
      <c r="A53" s="12" t="inlineStr">
        <is>
          <t>Messmate pipefish, Reeftop Pipefish</t>
        </is>
      </c>
      <c r="C53" s="12" t="inlineStr">
        <is>
          <t>Corythoichthys haematopterus</t>
        </is>
      </c>
      <c r="E53" s="12" t="n">
        <v>1.25</v>
      </c>
      <c r="F53" s="12">
        <f>IF(D53="",0,D53*E53)</f>
        <v/>
      </c>
    </row>
    <row r="54" ht="15" customHeight="1" s="7">
      <c r="A54" s="12" t="inlineStr">
        <is>
          <t>Common bluestripe snapper (small 4-8cm)</t>
        </is>
      </c>
      <c r="C54" s="12" t="inlineStr">
        <is>
          <t>Lutjanus kasmira</t>
        </is>
      </c>
      <c r="E54" s="12" t="n">
        <v>5</v>
      </c>
      <c r="F54" s="12">
        <f>IF(D54="",0,D54*E54)</f>
        <v/>
      </c>
    </row>
    <row r="55" ht="15" customHeight="1" s="7">
      <c r="A55" s="12" t="inlineStr">
        <is>
          <t>Maldives Triplefin</t>
        </is>
      </c>
      <c r="C55" s="12" t="inlineStr">
        <is>
          <t>Helcogramma maldivensis</t>
        </is>
      </c>
      <c r="E55" s="12" t="n">
        <v>5</v>
      </c>
      <c r="F55" s="12">
        <f>IF(D55="",0,D55*E55)</f>
        <v/>
      </c>
    </row>
    <row r="56" ht="15" customHeight="1" s="7">
      <c r="A56" s="12" t="inlineStr">
        <is>
          <t>Blackbar filefish</t>
        </is>
      </c>
      <c r="C56" s="12" t="inlineStr">
        <is>
          <t>Pervagor janthinosoma</t>
        </is>
      </c>
      <c r="E56" s="12" t="n">
        <v>3.75</v>
      </c>
      <c r="F56" s="12">
        <f>IF(D56="",0,D56*E56)</f>
        <v/>
      </c>
    </row>
    <row r="57" ht="15" customHeight="1" s="7">
      <c r="A57" s="12" t="inlineStr">
        <is>
          <t>Orbicular batfish</t>
        </is>
      </c>
      <c r="C57" s="12" t="inlineStr">
        <is>
          <t>Platax orbicularis</t>
        </is>
      </c>
      <c r="E57" s="12" t="n">
        <v>5</v>
      </c>
      <c r="F57" s="12">
        <f>IF(D57="",0,D57*E57)</f>
        <v/>
      </c>
    </row>
    <row r="59" ht="15" customHeight="1" s="7">
      <c r="A59" s="11" t="inlineStr">
        <is>
          <t>Boxfish</t>
        </is>
      </c>
    </row>
    <row r="61" ht="15" customHeight="1" s="7">
      <c r="A61" s="12" t="inlineStr">
        <is>
          <t>Cube Boxfish, Yellow Boxfish (small/medium)</t>
        </is>
      </c>
      <c r="C61" s="12" t="inlineStr">
        <is>
          <t>Ostracion cubicus</t>
        </is>
      </c>
      <c r="E61" s="12" t="n">
        <v>5</v>
      </c>
      <c r="F61" s="12">
        <f>IF(D61="",0,D61*E61)</f>
        <v/>
      </c>
    </row>
    <row r="62" ht="15" customHeight="1" s="7">
      <c r="A62" s="12" t="inlineStr">
        <is>
          <t>Whitespotted/Blue Boxfish (Male)</t>
        </is>
      </c>
      <c r="C62" s="12" t="inlineStr">
        <is>
          <t>Ostracion meleagris</t>
        </is>
      </c>
      <c r="E62" s="12" t="n">
        <v>5</v>
      </c>
      <c r="F62" s="12">
        <f>IF(D62="",0,D62*E62)</f>
        <v/>
      </c>
    </row>
    <row r="63" ht="15" customHeight="1" s="7">
      <c r="A63" s="12" t="inlineStr">
        <is>
          <t>Whitespotted/Black Boxfish (Female)</t>
        </is>
      </c>
      <c r="C63" s="12" t="inlineStr">
        <is>
          <t>Ostracion meleagris</t>
        </is>
      </c>
      <c r="E63" s="12" t="n">
        <v>5</v>
      </c>
      <c r="F63" s="12">
        <f>IF(D63="",0,D63*E63)</f>
        <v/>
      </c>
    </row>
    <row r="65" ht="15" customHeight="1" s="7">
      <c r="A65" s="11" t="inlineStr">
        <is>
          <t>Blennies</t>
        </is>
      </c>
    </row>
    <row r="67" ht="15" customHeight="1" s="7">
      <c r="A67" s="12" t="inlineStr">
        <is>
          <t>Smith's Venomous Blenny</t>
        </is>
      </c>
      <c r="C67" s="12" t="inlineStr">
        <is>
          <t>Meiacanthus smithi</t>
        </is>
      </c>
      <c r="E67" s="12" t="n">
        <v>1.25</v>
      </c>
      <c r="F67" s="12">
        <f>IF(D67="",0,D67*E67)</f>
        <v/>
      </c>
    </row>
    <row r="68" ht="15" customHeight="1" s="7">
      <c r="A68" s="12" t="inlineStr">
        <is>
          <t>Chestnut Eyelash Blenny</t>
        </is>
      </c>
      <c r="C68" s="12" t="inlineStr">
        <is>
          <t>Cirripectes castaneus</t>
        </is>
      </c>
      <c r="E68" s="12" t="n">
        <v>6.875</v>
      </c>
      <c r="F68" s="12">
        <f>IF(D68="",0,D68*E68)</f>
        <v/>
      </c>
    </row>
    <row r="69" ht="15" customHeight="1" s="7">
      <c r="A69" s="12" t="inlineStr">
        <is>
          <t>Red Streaked Eyelash Blenny*</t>
        </is>
      </c>
      <c r="C69" s="12" t="inlineStr">
        <is>
          <t>Cirripectes stigmaticus</t>
        </is>
      </c>
      <c r="E69" s="12" t="n">
        <v>10</v>
      </c>
      <c r="F69" s="12">
        <f>IF(D69="",0,D69*E69)</f>
        <v/>
      </c>
    </row>
    <row r="70" ht="15" customHeight="1" s="7">
      <c r="A70" s="12" t="inlineStr">
        <is>
          <t>Two-Coloured Blenny</t>
        </is>
      </c>
      <c r="C70" s="12" t="inlineStr">
        <is>
          <t>Ecsenius bicolour</t>
        </is>
      </c>
      <c r="E70" s="12" t="n">
        <v>5</v>
      </c>
      <c r="F70" s="12">
        <f>IF(D70="",0,D70*E70)</f>
        <v/>
      </c>
    </row>
    <row r="71" ht="15" customHeight="1" s="7">
      <c r="A71" s="12" t="inlineStr">
        <is>
          <t>Lined Combtooth Blenny, Linear blenny</t>
        </is>
      </c>
      <c r="C71" s="12" t="inlineStr">
        <is>
          <t>Ecsenius lineatus</t>
        </is>
      </c>
      <c r="E71" s="12" t="n">
        <v>5</v>
      </c>
      <c r="F71" s="12">
        <f>IF(D71="",0,D71*E71)</f>
        <v/>
      </c>
    </row>
    <row r="72" ht="15" customHeight="1" s="7">
      <c r="A72" s="12" t="inlineStr">
        <is>
          <t>Yellow Combtooth Blenny, Midas Blenny</t>
        </is>
      </c>
      <c r="C72" s="12" t="inlineStr">
        <is>
          <t>Ecsenius midas</t>
        </is>
      </c>
      <c r="E72" s="12" t="n">
        <v>6.875</v>
      </c>
      <c r="F72" s="12">
        <f>IF(D72="",0,D72*E72)</f>
        <v/>
      </c>
    </row>
    <row r="73" ht="15" customHeight="1" s="7">
      <c r="A73" s="12" t="inlineStr">
        <is>
          <t>Orange Spotted Blenny</t>
        </is>
      </c>
      <c r="C73" s="12" t="inlineStr">
        <is>
          <t>Blenniella chrysospilos</t>
        </is>
      </c>
      <c r="E73" s="12" t="n">
        <v>3.5625</v>
      </c>
      <c r="F73" s="12">
        <f>IF(D73="",0,D73*E73)</f>
        <v/>
      </c>
    </row>
    <row r="74" ht="15" customHeight="1" s="7">
      <c r="A74" s="12" t="inlineStr">
        <is>
          <t>Combtooth Blenny</t>
        </is>
      </c>
      <c r="C74" s="12" t="inlineStr">
        <is>
          <t>Ecsenius minutes</t>
        </is>
      </c>
      <c r="E74" s="12" t="n">
        <v>1.875</v>
      </c>
      <c r="F74" s="12">
        <f>IF(D74="",0,D74*E74)</f>
        <v/>
      </c>
    </row>
    <row r="76" ht="15" customHeight="1" s="7">
      <c r="A76" s="11" t="inlineStr">
        <is>
          <t>Butterflyfish</t>
        </is>
      </c>
    </row>
    <row r="78" ht="15" customHeight="1" s="7">
      <c r="A78" s="12" t="inlineStr">
        <is>
          <t>Black Back Butterflyfish</t>
        </is>
      </c>
      <c r="C78" s="12" t="inlineStr">
        <is>
          <t>Chaetodon melannotus</t>
        </is>
      </c>
      <c r="E78" s="12" t="n">
        <v>3.125</v>
      </c>
      <c r="F78" s="12">
        <f>IF(D78="",0,D78*E78)</f>
        <v/>
      </c>
    </row>
    <row r="79" ht="15" customHeight="1" s="7">
      <c r="A79" s="12" t="inlineStr">
        <is>
          <t>Madagascar Butterflyfish</t>
        </is>
      </c>
      <c r="C79" s="12" t="inlineStr">
        <is>
          <t>Chaetodon madagaskariensis</t>
        </is>
      </c>
      <c r="E79" s="12" t="n">
        <v>3.75</v>
      </c>
      <c r="F79" s="12">
        <f>IF(D79="",0,D79*E79)</f>
        <v/>
      </c>
    </row>
    <row r="80" ht="15" customHeight="1" s="7">
      <c r="A80" s="12" t="inlineStr">
        <is>
          <t>Double Saddle Butterflyfish (M/L)</t>
        </is>
      </c>
      <c r="C80" s="12" t="inlineStr">
        <is>
          <t>Chaetodon falcula</t>
        </is>
      </c>
      <c r="E80" s="12" t="n">
        <v>5</v>
      </c>
      <c r="F80" s="12">
        <f>IF(D80="",0,D80*E80)</f>
        <v/>
      </c>
    </row>
    <row r="81" ht="15" customHeight="1" s="7">
      <c r="A81" s="12" t="inlineStr">
        <is>
          <t>Double Saddle Butterflyfish (Small)</t>
        </is>
      </c>
      <c r="C81" s="12" t="inlineStr">
        <is>
          <t>Chaetodon falcula</t>
        </is>
      </c>
      <c r="E81" s="12" t="n">
        <v>5</v>
      </c>
      <c r="F81" s="12">
        <f>IF(D81="",0,D81*E81)</f>
        <v/>
      </c>
    </row>
    <row r="82" ht="15" customHeight="1" s="7">
      <c r="A82" s="12" t="inlineStr">
        <is>
          <t>Racoon Butterflyfish (M/L)</t>
        </is>
      </c>
      <c r="C82" s="12" t="inlineStr">
        <is>
          <t>Chaetodon lunula</t>
        </is>
      </c>
      <c r="E82" s="12" t="n">
        <v>3.75</v>
      </c>
      <c r="F82" s="12">
        <f>IF(D82="",0,D82*E82)</f>
        <v/>
      </c>
    </row>
    <row r="83" ht="15" customHeight="1" s="7">
      <c r="A83" s="12" t="inlineStr">
        <is>
          <t>Racoon Butterflyfish (Small)</t>
        </is>
      </c>
      <c r="C83" s="12" t="inlineStr">
        <is>
          <t>Chaetodon lunula</t>
        </is>
      </c>
      <c r="E83" s="12" t="n">
        <v>3.75</v>
      </c>
      <c r="F83" s="12">
        <f>IF(D83="",0,D83*E83)</f>
        <v/>
      </c>
    </row>
    <row r="84" ht="15" customHeight="1" s="7">
      <c r="A84" s="12" t="inlineStr">
        <is>
          <t>Brown Butterflyfish</t>
        </is>
      </c>
      <c r="C84" s="12" t="inlineStr">
        <is>
          <t>Chaetodon kleinii</t>
        </is>
      </c>
      <c r="E84" s="12" t="n">
        <v>1.875</v>
      </c>
      <c r="F84" s="12">
        <f>IF(D84="",0,D84*E84)</f>
        <v/>
      </c>
    </row>
    <row r="85" ht="15" customHeight="1" s="7">
      <c r="A85" s="12" t="inlineStr">
        <is>
          <t>Eclipse Butterflyfish</t>
        </is>
      </c>
      <c r="C85" s="12" t="inlineStr">
        <is>
          <t>Chaetodon bennetti</t>
        </is>
      </c>
      <c r="E85" s="12" t="n">
        <v>3.75</v>
      </c>
      <c r="F85" s="12">
        <f>IF(D85="",0,D85*E85)</f>
        <v/>
      </c>
    </row>
    <row r="86" ht="15" customHeight="1" s="7">
      <c r="A86" s="12" t="inlineStr">
        <is>
          <t>Citron Butterflyfish</t>
        </is>
      </c>
      <c r="C86" s="12" t="inlineStr">
        <is>
          <t>Chaetodon citrinellus</t>
        </is>
      </c>
      <c r="E86" s="12" t="n">
        <v>1.875</v>
      </c>
      <c r="F86" s="12">
        <f>IF(D86="",0,D86*E86)</f>
        <v/>
      </c>
    </row>
    <row r="87" ht="15" customHeight="1" s="7">
      <c r="A87" s="12" t="inlineStr">
        <is>
          <t>Head Band Butterflyfish</t>
        </is>
      </c>
      <c r="C87" s="12" t="inlineStr">
        <is>
          <t>Chaetodon collare</t>
        </is>
      </c>
      <c r="E87" s="12" t="n">
        <v>6.875</v>
      </c>
      <c r="F87" s="12">
        <f>IF(D87="",0,D87*E87)</f>
        <v/>
      </c>
    </row>
    <row r="88" ht="15" customHeight="1" s="7">
      <c r="A88" s="12" t="inlineStr">
        <is>
          <t>Spotted Butterflyfish</t>
        </is>
      </c>
      <c r="C88" s="12" t="inlineStr">
        <is>
          <t>Chaetodon guttatissimus</t>
        </is>
      </c>
      <c r="E88" s="12" t="n">
        <v>3.125</v>
      </c>
      <c r="F88" s="12">
        <f>IF(D88="",0,D88*E88)</f>
        <v/>
      </c>
    </row>
    <row r="89" ht="15" customHeight="1" s="7">
      <c r="A89" s="12" t="inlineStr">
        <is>
          <t>Vagabond Butterflyfish</t>
        </is>
      </c>
      <c r="C89" s="12" t="inlineStr">
        <is>
          <t>Chaetodon vagabundus</t>
        </is>
      </c>
      <c r="E89" s="12" t="n">
        <v>3.75</v>
      </c>
      <c r="F89" s="12">
        <f>IF(D89="",0,D89*E89)</f>
        <v/>
      </c>
    </row>
    <row r="90" ht="15" customHeight="1" s="7">
      <c r="A90" s="12" t="inlineStr">
        <is>
          <t>Yellowhead Butterflyfish (M/L)</t>
        </is>
      </c>
      <c r="C90" s="12" t="inlineStr">
        <is>
          <t>Chaetodon xanthocephalus</t>
        </is>
      </c>
      <c r="E90" s="12" t="n">
        <v>5.625</v>
      </c>
      <c r="F90" s="12">
        <f>IF(D90="",0,D90*E90)</f>
        <v/>
      </c>
    </row>
    <row r="91" ht="15" customHeight="1" s="7">
      <c r="A91" s="12" t="inlineStr">
        <is>
          <t>Yellowhead Butterflyfish (Small)</t>
        </is>
      </c>
      <c r="C91" s="12" t="inlineStr">
        <is>
          <t>Chaetodon xanthocephalus</t>
        </is>
      </c>
      <c r="E91" s="12" t="n">
        <v>4.375</v>
      </c>
      <c r="F91" s="12">
        <f>IF(D91="",0,D91*E91)</f>
        <v/>
      </c>
    </row>
    <row r="92" ht="15" customHeight="1" s="7">
      <c r="A92" s="12" t="inlineStr">
        <is>
          <t>Thread Fin Butterflyfish (M/L)</t>
        </is>
      </c>
      <c r="C92" s="12" t="inlineStr">
        <is>
          <t>Chaetodon auriga</t>
        </is>
      </c>
      <c r="E92" s="12" t="n">
        <v>3.75</v>
      </c>
      <c r="F92" s="12">
        <f>IF(D92="",0,D92*E92)</f>
        <v/>
      </c>
    </row>
    <row r="93" ht="15" customHeight="1" s="7">
      <c r="A93" s="12" t="inlineStr">
        <is>
          <t>Thread Fin Butterflyfish (Small)</t>
        </is>
      </c>
      <c r="C93" s="12" t="inlineStr">
        <is>
          <t>Chaetodon auriga</t>
        </is>
      </c>
      <c r="E93" s="12" t="n">
        <v>3.125</v>
      </c>
      <c r="F93" s="12">
        <f>IF(D93="",0,D93*E93)</f>
        <v/>
      </c>
    </row>
    <row r="94" ht="15" customHeight="1" s="7">
      <c r="A94" s="12" t="inlineStr">
        <is>
          <t>Long Nose Butterflyfish (small)</t>
        </is>
      </c>
      <c r="C94" s="12" t="inlineStr">
        <is>
          <t>Forcipiger longirostris</t>
        </is>
      </c>
      <c r="E94" s="12" t="n">
        <v>4.375</v>
      </c>
      <c r="F94" s="12">
        <f>IF(D94="",0,D94*E94)</f>
        <v/>
      </c>
    </row>
    <row r="95" ht="15" customHeight="1" s="7">
      <c r="A95" s="12" t="inlineStr">
        <is>
          <t>Long Nose Butterflyfish (Medium)</t>
        </is>
      </c>
      <c r="C95" s="12" t="inlineStr">
        <is>
          <t>Forcipiger flavissimus</t>
        </is>
      </c>
      <c r="E95" s="12" t="n">
        <v>4.375</v>
      </c>
      <c r="F95" s="12">
        <f>IF(D95="",0,D95*E95)</f>
        <v/>
      </c>
    </row>
    <row r="96" ht="15" customHeight="1" s="7">
      <c r="A96" s="12" t="inlineStr">
        <is>
          <t>Black Pyramid Butterflyfish (M/L)</t>
        </is>
      </c>
      <c r="C96" s="12" t="inlineStr">
        <is>
          <t>Hemitaurichthys zoster</t>
        </is>
      </c>
      <c r="E96" s="12" t="n">
        <v>4.375</v>
      </c>
      <c r="F96" s="12">
        <f>IF(D96="",0,D96*E96)</f>
        <v/>
      </c>
    </row>
    <row r="97" ht="15" customHeight="1" s="7">
      <c r="A97" s="12" t="inlineStr">
        <is>
          <t>Black Pyramid Butterflyfish (Small)</t>
        </is>
      </c>
      <c r="C97" s="12" t="inlineStr">
        <is>
          <t>Hemitaurichthys zoster</t>
        </is>
      </c>
      <c r="E97" s="12" t="n">
        <v>3.75</v>
      </c>
      <c r="F97" s="12">
        <f>IF(D97="",0,D97*E97)</f>
        <v/>
      </c>
    </row>
    <row r="98" ht="15" customHeight="1" s="7">
      <c r="A98" s="12" t="inlineStr">
        <is>
          <t>Singular Bannerfish</t>
        </is>
      </c>
      <c r="C98" s="12" t="inlineStr">
        <is>
          <t>Heniochus singularius</t>
        </is>
      </c>
      <c r="E98" s="12" t="n">
        <v>37.5</v>
      </c>
      <c r="F98" s="12">
        <f>IF(D98="",0,D98*E98)</f>
        <v/>
      </c>
    </row>
    <row r="99" ht="15" customHeight="1" s="7">
      <c r="A99" s="12" t="inlineStr">
        <is>
          <t>Triangular Butterflyfish</t>
        </is>
      </c>
      <c r="C99" s="12" t="inlineStr">
        <is>
          <t>Chaetodon baronessa</t>
        </is>
      </c>
      <c r="E99" s="12" t="n">
        <v>10</v>
      </c>
      <c r="F99" s="12">
        <f>IF(D99="",0,D99*E99)</f>
        <v/>
      </c>
    </row>
    <row r="100" ht="15" customHeight="1" s="7">
      <c r="A100" s="12" t="inlineStr">
        <is>
          <t>Yellow Teardrop Butterflyfish (M/L)</t>
        </is>
      </c>
      <c r="C100" s="12" t="inlineStr">
        <is>
          <t>Chaetodon interruptus/unimaculatus</t>
        </is>
      </c>
      <c r="E100" s="12" t="n">
        <v>10</v>
      </c>
      <c r="F100" s="12">
        <f>IF(D100="",0,D100*E100)</f>
        <v/>
      </c>
    </row>
    <row r="101" ht="15" customHeight="1" s="7">
      <c r="A101" s="12" t="inlineStr">
        <is>
          <t>Yellow Teardrop Butterflyfish (Small)</t>
        </is>
      </c>
      <c r="C101" s="12" t="inlineStr">
        <is>
          <t>Chaetodon interruptus/unimaculatus</t>
        </is>
      </c>
      <c r="E101" s="12" t="n">
        <v>6.25</v>
      </c>
      <c r="F101" s="12">
        <f>IF(D101="",0,D101*E101)</f>
        <v/>
      </c>
    </row>
    <row r="102" ht="15" customHeight="1" s="7">
      <c r="A102" s="12" t="inlineStr">
        <is>
          <t>Yellow Butterflyfish</t>
        </is>
      </c>
      <c r="C102" s="12" t="inlineStr">
        <is>
          <t>Chaetodon plebeius</t>
        </is>
      </c>
      <c r="E102" s="12" t="n">
        <v>6.875</v>
      </c>
      <c r="F102" s="12">
        <f>IF(D102="",0,D102*E102)</f>
        <v/>
      </c>
    </row>
    <row r="103" ht="15" customHeight="1" s="7">
      <c r="A103" s="12" t="inlineStr">
        <is>
          <t>Indian Butterflyfish</t>
        </is>
      </c>
      <c r="C103" s="12" t="inlineStr">
        <is>
          <t>Chaetodon mitratus</t>
        </is>
      </c>
      <c r="E103" s="12" t="n">
        <v>81.25</v>
      </c>
      <c r="F103" s="12">
        <f>IF(D103="",0,D103*E103)</f>
        <v/>
      </c>
    </row>
    <row r="104" ht="15" customHeight="1" s="7">
      <c r="A104" s="12" t="inlineStr">
        <is>
          <t>Reef Bannerfish</t>
        </is>
      </c>
      <c r="C104" s="12" t="inlineStr">
        <is>
          <t>Heniochus acuminatus</t>
        </is>
      </c>
      <c r="E104" s="12" t="n">
        <v>5</v>
      </c>
      <c r="F104" s="12">
        <f>IF(D104="",0,D104*E104)</f>
        <v/>
      </c>
    </row>
    <row r="105" ht="15" customHeight="1" s="7">
      <c r="A105" s="12" t="inlineStr">
        <is>
          <t>Masked Bannerfish</t>
        </is>
      </c>
      <c r="C105" s="12" t="inlineStr">
        <is>
          <t>Heniochus monoceros</t>
        </is>
      </c>
      <c r="E105" s="12" t="n">
        <v>56.25</v>
      </c>
      <c r="F105" s="12">
        <f>IF(D105="",0,D105*E105)</f>
        <v/>
      </c>
    </row>
    <row r="106" ht="15" customHeight="1" s="7">
      <c r="A106" s="12" t="inlineStr">
        <is>
          <t>Meyers Butterflyfish</t>
        </is>
      </c>
      <c r="C106" s="12" t="inlineStr">
        <is>
          <t>Chaetodon meyeri</t>
        </is>
      </c>
      <c r="E106" s="12" t="n">
        <v>12.5</v>
      </c>
      <c r="F106" s="12">
        <f>IF(D106="",0,D106*E106)</f>
        <v/>
      </c>
    </row>
    <row r="107" ht="15" customHeight="1" s="7">
      <c r="A107" s="12" t="inlineStr">
        <is>
          <t>Melon Butterflyfish</t>
        </is>
      </c>
      <c r="C107" s="12" t="inlineStr">
        <is>
          <t>Chaetodon trifasciatus</t>
        </is>
      </c>
      <c r="E107" s="12" t="n">
        <v>3.125</v>
      </c>
      <c r="F107" s="12">
        <f>IF(D107="",0,D107*E107)</f>
        <v/>
      </c>
    </row>
    <row r="109" ht="15" customHeight="1" s="7">
      <c r="A109" s="11" t="inlineStr">
        <is>
          <t>Damselfish, Anemonefish</t>
        </is>
      </c>
    </row>
    <row r="111" ht="15" customHeight="1" s="7">
      <c r="A111" s="12" t="inlineStr">
        <is>
          <t>Anemonefish, Yellowtail clownfish</t>
        </is>
      </c>
      <c r="C111" s="12" t="inlineStr">
        <is>
          <t>Amphiprion clarkii</t>
        </is>
      </c>
      <c r="E111" s="12" t="n">
        <v>2.5</v>
      </c>
      <c r="F111" s="12">
        <f>IF(D111="",0,D111*E111)</f>
        <v/>
      </c>
    </row>
    <row r="112" ht="15" customHeight="1" s="7">
      <c r="A112" s="12" t="inlineStr">
        <is>
          <t>Maldive anemonefish</t>
        </is>
      </c>
      <c r="C112" s="12" t="inlineStr">
        <is>
          <t>Amphiprion nigripes</t>
        </is>
      </c>
      <c r="E112" s="12" t="n">
        <v>3.125</v>
      </c>
      <c r="F112" s="12">
        <f>IF(D112="",0,D112*E112)</f>
        <v/>
      </c>
    </row>
    <row r="113" ht="15" customHeight="1" s="7">
      <c r="A113" s="12" t="inlineStr">
        <is>
          <t>Whitetail dascyllus, Humbug Damsel</t>
        </is>
      </c>
      <c r="C113" s="12" t="inlineStr">
        <is>
          <t>Dascyllus aruanus</t>
        </is>
      </c>
      <c r="E113" s="12" t="n">
        <v>1.875</v>
      </c>
      <c r="F113" s="12">
        <f>IF(D113="",0,D113*E113)</f>
        <v/>
      </c>
    </row>
    <row r="114" ht="15" customHeight="1" s="7">
      <c r="A114" s="12" t="inlineStr">
        <is>
          <t>Cloudy dascyllus, Indian Humbug</t>
        </is>
      </c>
      <c r="C114" s="12" t="inlineStr">
        <is>
          <t>Dascyllus carneus</t>
        </is>
      </c>
      <c r="E114" s="12" t="n">
        <v>1.875</v>
      </c>
      <c r="F114" s="12">
        <f>IF(D114="",0,D114*E114)</f>
        <v/>
      </c>
    </row>
    <row r="115" ht="15" customHeight="1" s="7">
      <c r="A115" s="12" t="inlineStr">
        <is>
          <t>Threespot dascyllus, Threespot Humbug</t>
        </is>
      </c>
      <c r="C115" s="12" t="inlineStr">
        <is>
          <t>Dascyllus trimaculatus</t>
        </is>
      </c>
      <c r="E115" s="12" t="n">
        <v>1.875</v>
      </c>
      <c r="F115" s="12">
        <f>IF(D115="",0,D115*E115)</f>
        <v/>
      </c>
    </row>
    <row r="116" ht="15" customHeight="1" s="7">
      <c r="A116" s="12" t="inlineStr">
        <is>
          <t>Chocolatedip chromis, Two tone puller</t>
        </is>
      </c>
      <c r="C116" s="12" t="inlineStr">
        <is>
          <t>Chromis dimidiata</t>
        </is>
      </c>
      <c r="E116" s="12" t="n">
        <v>1.875</v>
      </c>
      <c r="F116" s="12">
        <f>IF(D116="",0,D116*E116)</f>
        <v/>
      </c>
    </row>
    <row r="117" ht="15" customHeight="1" s="7">
      <c r="A117" s="12" t="inlineStr">
        <is>
          <t>Surge damselfish</t>
        </is>
      </c>
      <c r="C117" s="12" t="inlineStr">
        <is>
          <t>Chrysiptera brownriggii</t>
        </is>
      </c>
      <c r="E117" s="12" t="n">
        <v>2.25</v>
      </c>
      <c r="F117" s="12">
        <f>IF(D117="",0,D117*E117)</f>
        <v/>
      </c>
    </row>
    <row r="118" ht="15" customHeight="1" s="7">
      <c r="A118" s="12" t="inlineStr">
        <is>
          <t>Indian damsel</t>
        </is>
      </c>
      <c r="C118" s="12" t="inlineStr">
        <is>
          <t>Pomacentrus indicus</t>
        </is>
      </c>
      <c r="E118" s="12" t="n">
        <v>1.875</v>
      </c>
      <c r="F118" s="12">
        <f>IF(D118="",0,D118*E118)</f>
        <v/>
      </c>
    </row>
    <row r="119" ht="15" customHeight="1" s="7">
      <c r="A119" s="12" t="inlineStr">
        <is>
          <t>Caerulean damsel, Blue yellow damsel</t>
        </is>
      </c>
      <c r="C119" s="12" t="inlineStr">
        <is>
          <t>Pomacentrus caeruleus</t>
        </is>
      </c>
      <c r="E119" s="12" t="n">
        <v>3.125</v>
      </c>
      <c r="F119" s="12">
        <f>IF(D119="",0,D119*E119)</f>
        <v/>
      </c>
    </row>
    <row r="120" ht="15" customHeight="1" s="7">
      <c r="A120" s="12" t="inlineStr">
        <is>
          <t>Philippine damsel</t>
        </is>
      </c>
      <c r="C120" s="12" t="inlineStr">
        <is>
          <t>Pomacentrus philippinus</t>
        </is>
      </c>
      <c r="E120" s="12" t="n">
        <v>3.125</v>
      </c>
      <c r="F120" s="12">
        <f>IF(D120="",0,D120*E120)</f>
        <v/>
      </c>
    </row>
    <row r="121" ht="15" customHeight="1" s="7">
      <c r="A121" s="12" t="inlineStr">
        <is>
          <t>Indo-Pacific sergeant</t>
        </is>
      </c>
      <c r="C121" s="12" t="inlineStr">
        <is>
          <t>Abudefduf vaigiensis</t>
        </is>
      </c>
      <c r="E121" s="12" t="n">
        <v>3.125</v>
      </c>
      <c r="F121" s="12">
        <f>IF(D121="",0,D121*E121)</f>
        <v/>
      </c>
    </row>
    <row r="123" ht="15" customHeight="1" s="7">
      <c r="A123" s="11" t="inlineStr">
        <is>
          <t>Gobies, Dartfish</t>
        </is>
      </c>
    </row>
    <row r="125" ht="15" customHeight="1" s="7">
      <c r="A125" s="12" t="inlineStr">
        <is>
          <t>Pink-bar Shrimp Goby</t>
        </is>
      </c>
      <c r="C125" s="12" t="inlineStr">
        <is>
          <t>Amblyeleotris aurora</t>
        </is>
      </c>
      <c r="E125" s="12" t="n">
        <v>7.5</v>
      </c>
      <c r="F125" s="12">
        <f>IF(D125="",0,D125*E125)</f>
        <v/>
      </c>
    </row>
    <row r="126" ht="15" customHeight="1" s="7">
      <c r="A126" s="12" t="inlineStr">
        <is>
          <t>Steinitz's Shrimp Goby</t>
        </is>
      </c>
      <c r="C126" s="12" t="inlineStr">
        <is>
          <t>Amblyeleotris steinitzi</t>
        </is>
      </c>
      <c r="E126" s="12" t="n">
        <v>5</v>
      </c>
      <c r="F126" s="12">
        <f>IF(D126="",0,D126*E126)</f>
        <v/>
      </c>
    </row>
    <row r="127" ht="15" customHeight="1" s="7">
      <c r="A127" s="12" t="inlineStr">
        <is>
          <t>Dracula Shrimp Goby</t>
        </is>
      </c>
      <c r="C127" s="12" t="inlineStr">
        <is>
          <t>Stonogobiops Dracula</t>
        </is>
      </c>
      <c r="E127" s="12" t="n">
        <v>31.25</v>
      </c>
      <c r="F127" s="12">
        <f>IF(D127="",0,D127*E127)</f>
        <v/>
      </c>
    </row>
    <row r="128" ht="15" customHeight="1" s="7">
      <c r="A128" s="12" t="inlineStr">
        <is>
          <t>Orange Spotted Sand Goby</t>
        </is>
      </c>
      <c r="C128" s="12" t="inlineStr">
        <is>
          <t>Fusigobius longispinus</t>
        </is>
      </c>
      <c r="E128" s="12" t="n">
        <v>5.625</v>
      </c>
      <c r="F128" s="12">
        <f>IF(D128="",0,D128*E128)</f>
        <v/>
      </c>
    </row>
    <row r="129" ht="15" customHeight="1" s="7">
      <c r="A129" s="12" t="inlineStr">
        <is>
          <t>Inner Spotted Sand Goby</t>
        </is>
      </c>
      <c r="C129" s="12" t="inlineStr">
        <is>
          <t>Fusigobius inframaculatus</t>
        </is>
      </c>
      <c r="E129" s="12" t="n">
        <v>6.25</v>
      </c>
      <c r="F129" s="12">
        <f>IF(D129="",0,D129*E129)</f>
        <v/>
      </c>
    </row>
    <row r="130" ht="15" customHeight="1" s="7">
      <c r="A130" s="12" t="inlineStr">
        <is>
          <t>Bigtoothed/Largetooth Goby</t>
        </is>
      </c>
      <c r="C130" s="12" t="inlineStr">
        <is>
          <t>Macrodontogobius wilburi</t>
        </is>
      </c>
      <c r="E130" s="12" t="n">
        <v>3.125</v>
      </c>
      <c r="F130" s="12">
        <f>IF(D130="",0,D130*E130)</f>
        <v/>
      </c>
    </row>
    <row r="131" ht="15" customHeight="1" s="7">
      <c r="A131" s="12" t="inlineStr">
        <is>
          <t>Yellow Coral/Citron Goby</t>
        </is>
      </c>
      <c r="C131" s="12" t="inlineStr">
        <is>
          <t>Gobiodon citrinus</t>
        </is>
      </c>
      <c r="E131" s="12" t="n">
        <v>5</v>
      </c>
      <c r="F131" s="12">
        <f>IF(D131="",0,D131*E131)</f>
        <v/>
      </c>
    </row>
    <row r="132" ht="15" customHeight="1" s="7">
      <c r="A132" s="12" t="inlineStr">
        <is>
          <t>Six Spot Sleeper Goby</t>
        </is>
      </c>
      <c r="C132" s="12" t="inlineStr">
        <is>
          <t>Valenciennea sexguttata</t>
        </is>
      </c>
      <c r="E132" s="12" t="n">
        <v>3.125</v>
      </c>
      <c r="F132" s="12">
        <f>IF(D132="",0,D132*E132)</f>
        <v/>
      </c>
    </row>
    <row r="133" ht="15" customHeight="1" s="7">
      <c r="A133" s="12" t="inlineStr">
        <is>
          <t>Golden Head Sleeper Goby</t>
        </is>
      </c>
      <c r="C133" s="12" t="inlineStr">
        <is>
          <t>Valenciennea strigata</t>
        </is>
      </c>
      <c r="E133" s="12" t="n">
        <v>4.375</v>
      </c>
      <c r="F133" s="12">
        <f>IF(D133="",0,D133*E133)</f>
        <v/>
      </c>
    </row>
    <row r="134" ht="15" customHeight="1" s="7">
      <c r="A134" s="12" t="inlineStr">
        <is>
          <t>Whitebarred Reef Goby</t>
        </is>
      </c>
      <c r="C134" s="12" t="inlineStr">
        <is>
          <t>Amblygobius semicinctus</t>
        </is>
      </c>
      <c r="E134" s="12" t="n">
        <v>2.5</v>
      </c>
      <c r="F134" s="12">
        <f>IF(D134="",0,D134*E134)</f>
        <v/>
      </c>
    </row>
    <row r="135" ht="15" customHeight="1" s="7">
      <c r="A135" s="12" t="inlineStr">
        <is>
          <t>Orangespotted Sleeper/Diamond Goby</t>
        </is>
      </c>
      <c r="C135" s="12" t="inlineStr">
        <is>
          <t>Valenciennea puellaris</t>
        </is>
      </c>
      <c r="E135" s="12" t="n">
        <v>3.75</v>
      </c>
      <c r="F135" s="12">
        <f>IF(D135="",0,D135*E135)</f>
        <v/>
      </c>
    </row>
    <row r="136" ht="15" customHeight="1" s="7">
      <c r="A136" s="12" t="inlineStr">
        <is>
          <t>Valencia Sleeper/Twostripe Goby</t>
        </is>
      </c>
      <c r="C136" s="12" t="inlineStr">
        <is>
          <t>Valenciennea helsdingenii</t>
        </is>
      </c>
      <c r="E136" s="12" t="n">
        <v>5</v>
      </c>
      <c r="F136" s="12">
        <f>IF(D136="",0,D136*E136)</f>
        <v/>
      </c>
    </row>
    <row r="137" ht="15" customHeight="1" s="7">
      <c r="A137" s="12" t="inlineStr">
        <is>
          <t>Red Fire-Goby/Fire goby</t>
        </is>
      </c>
      <c r="C137" s="12" t="inlineStr">
        <is>
          <t>Nemateleotris magnifica</t>
        </is>
      </c>
      <c r="E137" s="12" t="n">
        <v>5.625</v>
      </c>
      <c r="F137" s="12">
        <f>IF(D137="",0,D137*E137)</f>
        <v/>
      </c>
    </row>
    <row r="138" ht="15" customHeight="1" s="7">
      <c r="A138" s="12" t="inlineStr">
        <is>
          <t>Purple Fire-Goby/Purple Dartfish</t>
        </is>
      </c>
      <c r="C138" s="12" t="inlineStr">
        <is>
          <t>Nemateleotris decora</t>
        </is>
      </c>
      <c r="E138" s="12" t="n">
        <v>7.5</v>
      </c>
      <c r="F138" s="12">
        <f>IF(D138="",0,D138*E138)</f>
        <v/>
      </c>
    </row>
    <row r="139" ht="15" customHeight="1" s="7">
      <c r="A139" s="12" t="inlineStr">
        <is>
          <t>Arrow Goby/Blackfin dartfish</t>
        </is>
      </c>
      <c r="C139" s="12" t="inlineStr">
        <is>
          <t>Ptereleotris evides</t>
        </is>
      </c>
      <c r="E139" s="12" t="n">
        <v>3.5</v>
      </c>
      <c r="F139" s="12">
        <f>IF(D139="",0,D139*E139)</f>
        <v/>
      </c>
    </row>
    <row r="140" ht="15" customHeight="1" s="7">
      <c r="A140" s="12" t="inlineStr">
        <is>
          <t>Zebra Dart-Goby/Zebra Barred Dartfish</t>
        </is>
      </c>
      <c r="C140" s="12" t="inlineStr">
        <is>
          <t>Ptereleotris zebra</t>
        </is>
      </c>
      <c r="E140" s="12" t="n">
        <v>3.75</v>
      </c>
      <c r="F140" s="12">
        <f>IF(D140="",0,D140*E140)</f>
        <v/>
      </c>
    </row>
    <row r="141" ht="15" customHeight="1" s="7">
      <c r="A141" s="12" t="inlineStr">
        <is>
          <t>Spottail Dartfish/Blue Gudgeon Goby</t>
        </is>
      </c>
      <c r="C141" s="12" t="inlineStr">
        <is>
          <t>Ptereleotris heteroptera</t>
        </is>
      </c>
      <c r="E141" s="12" t="n">
        <v>5.375</v>
      </c>
      <c r="F141" s="12">
        <f>IF(D141="",0,D141*E141)</f>
        <v/>
      </c>
    </row>
    <row r="142" ht="15" customHeight="1" s="7">
      <c r="A142" s="12" t="inlineStr">
        <is>
          <t>Hector's Goby</t>
        </is>
      </c>
      <c r="C142" s="12" t="inlineStr">
        <is>
          <t>Amblygobius hectori</t>
        </is>
      </c>
      <c r="E142" s="12" t="n">
        <v>5.375</v>
      </c>
      <c r="F142" s="12">
        <f>IF(D142="",0,D142*E142)</f>
        <v/>
      </c>
    </row>
    <row r="143" ht="15" customHeight="1" s="7">
      <c r="A143" s="12" t="inlineStr">
        <is>
          <t>Full Moon Reef Goby*</t>
        </is>
      </c>
      <c r="C143" s="12" t="inlineStr">
        <is>
          <t>Priolepis nocturna</t>
        </is>
      </c>
      <c r="E143" s="12" t="n">
        <v>7.5</v>
      </c>
      <c r="F143" s="12">
        <f>IF(D143="",0,D143*E143)</f>
        <v/>
      </c>
    </row>
    <row r="145" ht="15" customHeight="1" s="7">
      <c r="A145" s="11" t="inlineStr">
        <is>
          <t>Grouper</t>
        </is>
      </c>
    </row>
    <row r="147" ht="15" customHeight="1" s="7">
      <c r="A147" s="12" t="inlineStr">
        <is>
          <t>Miniata Grouper/Coral Hind</t>
        </is>
      </c>
      <c r="C147" s="12" t="inlineStr">
        <is>
          <t>Cephalopholis miniata</t>
        </is>
      </c>
      <c r="E147" s="12" t="n">
        <v>18.75</v>
      </c>
      <c r="F147" s="12">
        <f>IF(D147="",0,D147*E147)</f>
        <v/>
      </c>
    </row>
    <row r="148" ht="15" customHeight="1" s="7">
      <c r="A148" s="12" t="inlineStr">
        <is>
          <t>Bluespotted Grouper/Peacock Hind</t>
        </is>
      </c>
      <c r="C148" s="12" t="inlineStr">
        <is>
          <t>Cephalopholis argus</t>
        </is>
      </c>
      <c r="E148" s="12" t="n">
        <v>18.75</v>
      </c>
      <c r="F148" s="12">
        <f>IF(D148="",0,D148*E148)</f>
        <v/>
      </c>
    </row>
    <row r="149" ht="15" customHeight="1" s="7">
      <c r="A149" s="12" t="inlineStr">
        <is>
          <t>Lunar-Tailed/Lyretail Grouper</t>
        </is>
      </c>
      <c r="C149" s="12" t="inlineStr">
        <is>
          <t>Variola louti</t>
        </is>
      </c>
      <c r="E149" s="12" t="n">
        <v>25</v>
      </c>
      <c r="F149" s="12">
        <f>IF(D149="",0,D149*E149)</f>
        <v/>
      </c>
    </row>
    <row r="150" ht="15" customHeight="1" s="7">
      <c r="A150" s="12" t="inlineStr">
        <is>
          <t>Red Flag Grouper/Darkfin Hind</t>
        </is>
      </c>
      <c r="C150" s="12" t="inlineStr">
        <is>
          <t>Cephalopholis urodeta</t>
        </is>
      </c>
      <c r="E150" s="12" t="n">
        <v>18.75</v>
      </c>
      <c r="F150" s="12">
        <f>IF(D150="",0,D150*E150)</f>
        <v/>
      </c>
    </row>
    <row r="151" ht="15" customHeight="1" s="7">
      <c r="A151" s="12" t="inlineStr">
        <is>
          <t>White-edged lyretail</t>
        </is>
      </c>
      <c r="C151" s="12" t="inlineStr">
        <is>
          <t>Variola albimarginata</t>
        </is>
      </c>
      <c r="E151" s="12" t="n">
        <v>18.75</v>
      </c>
      <c r="F151" s="12">
        <f>IF(D151="",0,D151*E151)</f>
        <v/>
      </c>
    </row>
    <row r="153" ht="15" customHeight="1" s="7">
      <c r="A153" s="11" t="inlineStr">
        <is>
          <t>Hawkfish</t>
        </is>
      </c>
    </row>
    <row r="155" ht="15" customHeight="1" s="7">
      <c r="A155" s="12" t="inlineStr">
        <is>
          <t>Spotted Hawkfish, Coral hawkfish</t>
        </is>
      </c>
      <c r="C155" s="12" t="inlineStr">
        <is>
          <t>Cirrhitichthys oxycephalus</t>
        </is>
      </c>
      <c r="E155" s="12" t="n">
        <v>2.5</v>
      </c>
      <c r="F155" s="12">
        <f>IF(D155="",0,D155*E155)</f>
        <v/>
      </c>
    </row>
    <row r="156" ht="15" customHeight="1" s="7">
      <c r="A156" s="12" t="inlineStr">
        <is>
          <t>Longnose hawkfish</t>
        </is>
      </c>
      <c r="C156" s="12" t="inlineStr">
        <is>
          <t>Oxycirrhites typus</t>
        </is>
      </c>
      <c r="E156" s="12" t="n">
        <v>8.125</v>
      </c>
      <c r="F156" s="12">
        <f>IF(D156="",0,D156*E156)</f>
        <v/>
      </c>
    </row>
    <row r="157" ht="15" customHeight="1" s="7">
      <c r="A157" s="12" t="inlineStr">
        <is>
          <t>Blackside hawkfish, Foster's Hawkfish</t>
        </is>
      </c>
      <c r="C157" s="12" t="inlineStr">
        <is>
          <t>Paracirrhites forsteri</t>
        </is>
      </c>
      <c r="E157" s="12" t="n">
        <v>3.125</v>
      </c>
      <c r="F157" s="12">
        <f>IF(D157="",0,D157*E157)</f>
        <v/>
      </c>
    </row>
    <row r="158" ht="15" customHeight="1" s="7">
      <c r="A158" s="12" t="inlineStr">
        <is>
          <t>Arc Eye Hawkfish</t>
        </is>
      </c>
      <c r="C158" s="12" t="inlineStr">
        <is>
          <t>Paracirrhites arcatus</t>
        </is>
      </c>
      <c r="E158" s="12" t="n">
        <v>5</v>
      </c>
      <c r="F158" s="12">
        <f>IF(D158="",0,D158*E158)</f>
        <v/>
      </c>
    </row>
    <row r="160" ht="15" customHeight="1" s="7">
      <c r="A160" s="11" t="inlineStr">
        <is>
          <t>Lionfish/Scorpionfish</t>
        </is>
      </c>
    </row>
    <row r="162" ht="15" customHeight="1" s="7">
      <c r="A162" s="12" t="inlineStr">
        <is>
          <t>Spotfin Lionfish/Broadbarred firefish</t>
        </is>
      </c>
      <c r="C162" s="12" t="inlineStr">
        <is>
          <t>Pterois antennata</t>
        </is>
      </c>
      <c r="E162" s="12" t="n">
        <v>6.25</v>
      </c>
      <c r="F162" s="12">
        <f>IF(D162="",0,D162*E162)</f>
        <v/>
      </c>
    </row>
    <row r="163" ht="15" customHeight="1" s="7">
      <c r="A163" s="12" t="inlineStr">
        <is>
          <t>Red Firefish/Common Lionfish</t>
        </is>
      </c>
      <c r="C163" s="12" t="inlineStr">
        <is>
          <t>Pterois volitans</t>
        </is>
      </c>
      <c r="E163" s="12" t="n">
        <v>6.875</v>
      </c>
      <c r="F163" s="12">
        <f>IF(D163="",0,D163*E163)</f>
        <v/>
      </c>
    </row>
    <row r="164" ht="15" customHeight="1" s="7">
      <c r="A164" s="12" t="inlineStr">
        <is>
          <t>Zebra Lionfish/Dwarf Lionfish</t>
        </is>
      </c>
      <c r="C164" s="12" t="inlineStr">
        <is>
          <t>Dendrochirus zebra</t>
        </is>
      </c>
      <c r="E164" s="12" t="n">
        <v>5</v>
      </c>
      <c r="F164" s="12">
        <f>IF(D164="",0,D164*E164)</f>
        <v/>
      </c>
    </row>
    <row r="165" ht="15" customHeight="1" s="7">
      <c r="A165" s="12" t="inlineStr">
        <is>
          <t>Clearfin Lionfish/Radial firefish</t>
        </is>
      </c>
      <c r="C165" s="12" t="inlineStr">
        <is>
          <t>Pterois radiate</t>
        </is>
      </c>
      <c r="E165" s="12" t="n">
        <v>6.875</v>
      </c>
      <c r="F165" s="12">
        <f>IF(D165="",0,D165*E165)</f>
        <v/>
      </c>
    </row>
    <row r="166" ht="15" customHeight="1" s="7">
      <c r="A166" s="12" t="inlineStr">
        <is>
          <t>Devil firefish</t>
        </is>
      </c>
      <c r="C166" s="12" t="inlineStr">
        <is>
          <t>Pterois miles</t>
        </is>
      </c>
      <c r="E166" s="12" t="n">
        <v>5</v>
      </c>
      <c r="F166" s="12">
        <f>IF(D166="",0,D166*E166)</f>
        <v/>
      </c>
    </row>
    <row r="168" ht="15" customHeight="1" s="7">
      <c r="A168" s="11" t="inlineStr">
        <is>
          <t>Squirrelfish/Soldierfish</t>
        </is>
      </c>
    </row>
    <row r="170" ht="15" customHeight="1" s="7">
      <c r="A170" s="12" t="inlineStr">
        <is>
          <t>Sabre Squirrelfish</t>
        </is>
      </c>
      <c r="C170" s="12" t="inlineStr">
        <is>
          <t>Sargocentron spiniferum</t>
        </is>
      </c>
      <c r="E170" s="12" t="n">
        <v>13.75</v>
      </c>
      <c r="F170" s="12">
        <f>IF(D170="",0,D170*E170)</f>
        <v/>
      </c>
    </row>
    <row r="171" ht="15" customHeight="1" s="7">
      <c r="A171" s="12" t="inlineStr">
        <is>
          <t>Blackfin Squirrelfish</t>
        </is>
      </c>
      <c r="C171" s="12" t="inlineStr">
        <is>
          <t>Neoniphon opercularis</t>
        </is>
      </c>
      <c r="E171" s="12" t="n">
        <v>5</v>
      </c>
      <c r="F171" s="12">
        <f>IF(D171="",0,D171*E171)</f>
        <v/>
      </c>
    </row>
    <row r="172" ht="15" customHeight="1" s="7">
      <c r="A172" s="12" t="inlineStr">
        <is>
          <t>Shadowfin Soldierfish, Crimson Soldierfish</t>
        </is>
      </c>
      <c r="C172" s="12" t="inlineStr">
        <is>
          <t>Myripristis adusta</t>
        </is>
      </c>
      <c r="E172" s="12" t="n">
        <v>5</v>
      </c>
      <c r="F172" s="12">
        <f>IF(D172="",0,D172*E172)</f>
        <v/>
      </c>
    </row>
    <row r="174" ht="15" customHeight="1" s="7">
      <c r="A174" s="11" t="inlineStr">
        <is>
          <t>Surgeonfishes/Tangs</t>
        </is>
      </c>
    </row>
    <row r="176" ht="15" customHeight="1" s="7">
      <c r="A176" s="12" t="inlineStr">
        <is>
          <t>Powder Blue Tang/Surgeonfish (Small 3-7cm)</t>
        </is>
      </c>
      <c r="C176" s="12" t="inlineStr">
        <is>
          <t>Acanthurus leucosternon</t>
        </is>
      </c>
      <c r="E176" s="12" t="n">
        <v>5</v>
      </c>
      <c r="F176" s="12">
        <f>IF(D176="",0,D176*E176)</f>
        <v/>
      </c>
    </row>
    <row r="177" ht="15" customHeight="1" s="7">
      <c r="A177" s="12" t="inlineStr">
        <is>
          <t>Powder Blue Tang/Surgeonfish (Medium/Large)</t>
        </is>
      </c>
      <c r="C177" s="12" t="inlineStr">
        <is>
          <t>Acanthurus leucosternon</t>
        </is>
      </c>
      <c r="E177" s="12" t="n">
        <v>6.25</v>
      </c>
      <c r="F177" s="12">
        <f>IF(D177="",0,D177*E177)</f>
        <v/>
      </c>
    </row>
    <row r="178" ht="15" customHeight="1" s="7">
      <c r="A178" s="12" t="inlineStr">
        <is>
          <t>Lieutenant Surgeonfish (Small 3-7cm)</t>
        </is>
      </c>
      <c r="C178" s="12" t="inlineStr">
        <is>
          <t>Acanthurus tennenti</t>
        </is>
      </c>
      <c r="E178" s="12" t="n">
        <v>5</v>
      </c>
      <c r="F178" s="12">
        <f>IF(D178="",0,D178*E178)</f>
        <v/>
      </c>
    </row>
    <row r="179" ht="15" customHeight="1" s="7">
      <c r="A179" s="12" t="inlineStr">
        <is>
          <t>Lieutenant Surgeonfish (Medium/Large)</t>
        </is>
      </c>
      <c r="C179" s="12" t="inlineStr">
        <is>
          <t>Acanthurus tennenti</t>
        </is>
      </c>
      <c r="E179" s="12" t="n">
        <v>6.25</v>
      </c>
      <c r="F179" s="12">
        <f>IF(D179="",0,D179*E179)</f>
        <v/>
      </c>
    </row>
    <row r="180" ht="15" customHeight="1" s="7">
      <c r="A180" s="12" t="inlineStr">
        <is>
          <t>Lined Surgeonfish/Clown Tang (Small 3-7cm)</t>
        </is>
      </c>
      <c r="C180" s="12" t="inlineStr">
        <is>
          <t>Acanthurus lineatus</t>
        </is>
      </c>
      <c r="E180" s="12" t="n">
        <v>5</v>
      </c>
      <c r="F180" s="12">
        <f>IF(D180="",0,D180*E180)</f>
        <v/>
      </c>
    </row>
    <row r="181" ht="15" customHeight="1" s="7">
      <c r="A181" s="12" t="inlineStr">
        <is>
          <t>Lined Surgeonfish/Clown Tang (Medium/Large)</t>
        </is>
      </c>
      <c r="C181" s="12" t="inlineStr">
        <is>
          <t>Acanthurus lineatus</t>
        </is>
      </c>
      <c r="E181" s="12" t="n">
        <v>6.25</v>
      </c>
      <c r="F181" s="12">
        <f>IF(D181="",0,D181*E181)</f>
        <v/>
      </c>
    </row>
    <row r="182" ht="15" customHeight="1" s="7">
      <c r="A182" s="12" t="inlineStr">
        <is>
          <t>Convict Surgeonfish</t>
        </is>
      </c>
      <c r="C182" s="12" t="inlineStr">
        <is>
          <t>Acanthurus triostegus</t>
        </is>
      </c>
      <c r="E182" s="12" t="n">
        <v>2.5</v>
      </c>
      <c r="F182" s="12">
        <f>IF(D182="",0,D182*E182)</f>
        <v/>
      </c>
    </row>
    <row r="183" ht="15" customHeight="1" s="7">
      <c r="A183" s="12" t="inlineStr">
        <is>
          <t>Dusky/Brown Surgeonfish</t>
        </is>
      </c>
      <c r="C183" s="12" t="inlineStr">
        <is>
          <t>Acanthurus nigrofuscus</t>
        </is>
      </c>
      <c r="E183" s="12" t="n">
        <v>2.5</v>
      </c>
      <c r="F183" s="12">
        <f>IF(D183="",0,D183*E183)</f>
        <v/>
      </c>
    </row>
    <row r="184" ht="15" customHeight="1" s="7">
      <c r="A184" s="12" t="inlineStr">
        <is>
          <t>Epaulette Surgeonfish</t>
        </is>
      </c>
      <c r="C184" s="12" t="inlineStr">
        <is>
          <t>Acanthurus nigricauda</t>
        </is>
      </c>
      <c r="E184" s="12" t="n">
        <v>2.5</v>
      </c>
      <c r="F184" s="12">
        <f>IF(D184="",0,D184*E184)</f>
        <v/>
      </c>
    </row>
    <row r="185" ht="15" customHeight="1" s="7">
      <c r="A185" s="12" t="inlineStr">
        <is>
          <t>Twospot Surgeonfish</t>
        </is>
      </c>
      <c r="C185" s="12" t="inlineStr">
        <is>
          <t>Ctenochaetus binotatus</t>
        </is>
      </c>
      <c r="E185" s="12" t="n">
        <v>3.75</v>
      </c>
      <c r="F185" s="12">
        <f>IF(D185="",0,D185*E185)</f>
        <v/>
      </c>
    </row>
    <row r="186" ht="15" customHeight="1" s="7">
      <c r="A186" s="12" t="inlineStr">
        <is>
          <t>Brown Tang (Small 3-7cm)</t>
        </is>
      </c>
      <c r="C186" s="12" t="inlineStr">
        <is>
          <t>Zebrasoma scopas</t>
        </is>
      </c>
      <c r="E186" s="12" t="n">
        <v>3.75</v>
      </c>
      <c r="F186" s="12">
        <f>IF(D186="",0,D186*E186)</f>
        <v/>
      </c>
    </row>
    <row r="187" ht="15" customHeight="1" s="7">
      <c r="A187" s="12" t="inlineStr">
        <is>
          <t>Brown Tang (Medium/Large)</t>
        </is>
      </c>
      <c r="C187" s="12" t="inlineStr">
        <is>
          <t>Zebrasoma scopas</t>
        </is>
      </c>
      <c r="E187" s="12" t="n">
        <v>3.75</v>
      </c>
      <c r="F187" s="12">
        <f>IF(D187="",0,D187*E187)</f>
        <v/>
      </c>
    </row>
    <row r="188" ht="15" customHeight="1" s="7">
      <c r="A188" s="12" t="inlineStr">
        <is>
          <t>Sailfin Tang (Small 3-7cm)</t>
        </is>
      </c>
      <c r="C188" s="12" t="inlineStr">
        <is>
          <t>Zebrasoma veliferum/desjardinii</t>
        </is>
      </c>
      <c r="E188" s="12" t="n">
        <v>6.25</v>
      </c>
      <c r="F188" s="12">
        <f>IF(D188="",0,D188*E188)</f>
        <v/>
      </c>
    </row>
    <row r="189" ht="15" customHeight="1" s="7">
      <c r="A189" s="12" t="inlineStr">
        <is>
          <t>Sailfin Tang (Medium/Large)</t>
        </is>
      </c>
      <c r="C189" s="12" t="inlineStr">
        <is>
          <t>Zebrasoma veliferum/desjardinii</t>
        </is>
      </c>
      <c r="E189" s="12" t="n">
        <v>6.25</v>
      </c>
      <c r="F189" s="12">
        <f>IF(D189="",0,D189*E189)</f>
        <v/>
      </c>
    </row>
    <row r="190" ht="15" customHeight="1" s="7">
      <c r="A190" s="12" t="inlineStr">
        <is>
          <t>Orange-spine Unicornfish (Small 3-7cm)</t>
        </is>
      </c>
      <c r="C190" s="12" t="inlineStr">
        <is>
          <t>Naso lituratus</t>
        </is>
      </c>
      <c r="E190" s="12" t="n">
        <v>6.25</v>
      </c>
      <c r="F190" s="12">
        <f>IF(D190="",0,D190*E190)</f>
        <v/>
      </c>
    </row>
    <row r="191" ht="15" customHeight="1" s="7">
      <c r="A191" s="12" t="inlineStr">
        <is>
          <t>Orange-spine Unicornfish (Large)</t>
        </is>
      </c>
      <c r="C191" s="12" t="inlineStr">
        <is>
          <t>Naso lituratus</t>
        </is>
      </c>
      <c r="E191" s="12" t="n">
        <v>10.625</v>
      </c>
      <c r="F191" s="12">
        <f>IF(D191="",0,D191*E191)</f>
        <v/>
      </c>
    </row>
    <row r="192" ht="15" customHeight="1" s="7">
      <c r="A192" s="12" t="inlineStr">
        <is>
          <t>Bignose Unicornfish (Small 3-7cm)</t>
        </is>
      </c>
      <c r="C192" s="12" t="inlineStr">
        <is>
          <t>Naso vlamingii</t>
        </is>
      </c>
      <c r="E192" s="12" t="n">
        <v>6.25</v>
      </c>
      <c r="F192" s="12">
        <f>IF(D192="",0,D192*E192)</f>
        <v/>
      </c>
    </row>
    <row r="193" ht="15" customHeight="1" s="7">
      <c r="A193" s="12" t="inlineStr">
        <is>
          <t>Bignose Unicornfish (Large)</t>
        </is>
      </c>
      <c r="C193" s="12" t="inlineStr">
        <is>
          <t>Naso vlamingii</t>
        </is>
      </c>
      <c r="E193" s="12" t="n">
        <v>10.625</v>
      </c>
      <c r="F193" s="12">
        <f>IF(D193="",0,D193*E193)</f>
        <v/>
      </c>
    </row>
    <row r="194" ht="15" customHeight="1" s="7">
      <c r="A194" s="12" t="inlineStr">
        <is>
          <t>Spotted Unicornfish (Small 3-7cm)</t>
        </is>
      </c>
      <c r="C194" s="12" t="inlineStr">
        <is>
          <t>Naso brevirostris</t>
        </is>
      </c>
      <c r="E194" s="12" t="n">
        <v>5.625</v>
      </c>
      <c r="F194" s="12">
        <f>IF(D194="",0,D194*E194)</f>
        <v/>
      </c>
    </row>
    <row r="195" ht="15" customHeight="1" s="7">
      <c r="A195" s="12" t="inlineStr">
        <is>
          <t>Spotted Unicornfish (Large)</t>
        </is>
      </c>
      <c r="C195" s="12" t="inlineStr">
        <is>
          <t>Naso brevirostris</t>
        </is>
      </c>
      <c r="E195" s="12" t="n">
        <v>9.375</v>
      </c>
      <c r="F195" s="12">
        <f>IF(D195="",0,D195*E195)</f>
        <v/>
      </c>
    </row>
    <row r="196" ht="15" customHeight="1" s="7">
      <c r="A196" s="12" t="inlineStr">
        <is>
          <t>Bluespine Unicornfish (Small 3-7cm)</t>
        </is>
      </c>
      <c r="C196" s="12" t="inlineStr">
        <is>
          <t>Naso unicornis</t>
        </is>
      </c>
      <c r="E196" s="12" t="n">
        <v>5.625</v>
      </c>
      <c r="F196" s="12">
        <f>IF(D196="",0,D196*E196)</f>
        <v/>
      </c>
    </row>
    <row r="197" ht="15" customHeight="1" s="7">
      <c r="A197" s="12" t="inlineStr">
        <is>
          <t>Bluespine Unicornfish (Medium/Large)</t>
        </is>
      </c>
      <c r="C197" s="12" t="inlineStr">
        <is>
          <t>Naso unicornis</t>
        </is>
      </c>
      <c r="E197" s="12" t="n">
        <v>11.25</v>
      </c>
      <c r="F197" s="12">
        <f>IF(D197="",0,D197*E197)</f>
        <v/>
      </c>
    </row>
    <row r="198" ht="15" customHeight="1" s="7">
      <c r="A198" s="12" t="inlineStr">
        <is>
          <t>Spotted surgeonfish/Goldring Bristletooth (Small)</t>
        </is>
      </c>
      <c r="C198" s="12" t="inlineStr">
        <is>
          <t>Ctenochaetus strigosus</t>
        </is>
      </c>
      <c r="E198" s="12" t="n">
        <v>6.25</v>
      </c>
      <c r="F198" s="12">
        <f>IF(D198="",0,D198*E198)</f>
        <v/>
      </c>
    </row>
    <row r="199" ht="15" customHeight="1" s="7">
      <c r="A199" s="12" t="inlineStr">
        <is>
          <t>Spotted surgeonfish/Goldring Bristletooth (Large)</t>
        </is>
      </c>
      <c r="C199" s="12" t="inlineStr">
        <is>
          <t>Ctenochaetus strigosus</t>
        </is>
      </c>
      <c r="E199" s="12" t="n">
        <v>6.25</v>
      </c>
      <c r="F199" s="12">
        <f>IF(D199="",0,D199*E199)</f>
        <v/>
      </c>
    </row>
    <row r="200" ht="15" customHeight="1" s="7">
      <c r="A200" s="12" t="inlineStr">
        <is>
          <t>Palelipped/Whitespined surgeonfish (Small)</t>
        </is>
      </c>
      <c r="C200" s="12" t="inlineStr">
        <is>
          <t>Acanthurus leucocheilus</t>
        </is>
      </c>
      <c r="E200" s="12" t="n">
        <v>43.75</v>
      </c>
      <c r="F200" s="12">
        <f>IF(D200="",0,D200*E200)</f>
        <v/>
      </c>
    </row>
    <row r="201" ht="15" customHeight="1" s="7">
      <c r="A201" s="12" t="inlineStr">
        <is>
          <t>Palelipped/Whitespined surgeonfish (Large)</t>
        </is>
      </c>
      <c r="C201" s="12" t="inlineStr">
        <is>
          <t>Acanthurus leucocheilus</t>
        </is>
      </c>
      <c r="E201" s="12" t="n">
        <v>56.25</v>
      </c>
      <c r="F201" s="12">
        <f>IF(D201="",0,D201*E201)</f>
        <v/>
      </c>
    </row>
    <row r="202" ht="15" customHeight="1" s="7">
      <c r="A202" s="12" t="inlineStr">
        <is>
          <t>Black-spot/Eye-spot surgeonfish (Small)</t>
        </is>
      </c>
      <c r="C202" s="12" t="inlineStr">
        <is>
          <t>Acanthurus bariene</t>
        </is>
      </c>
      <c r="E202" s="12" t="n">
        <v>37.5</v>
      </c>
      <c r="F202" s="12">
        <f>IF(D202="",0,D202*E202)</f>
        <v/>
      </c>
    </row>
    <row r="203" ht="15" customHeight="1" s="7">
      <c r="A203" s="12" t="inlineStr">
        <is>
          <t>Black-spot/Eye-spot surgeonfish (Large)</t>
        </is>
      </c>
      <c r="C203" s="12" t="inlineStr">
        <is>
          <t>Acanthurus bariene</t>
        </is>
      </c>
      <c r="E203" s="12" t="n">
        <v>56.25</v>
      </c>
      <c r="F203" s="12">
        <f>IF(D203="",0,D203*E203)</f>
        <v/>
      </c>
    </row>
    <row r="204" ht="15" customHeight="1" s="7">
      <c r="A204" s="12" t="inlineStr">
        <is>
          <t>White-freckled Tang/Spotface surgeonfish (Small)</t>
        </is>
      </c>
      <c r="C204" s="12" t="inlineStr">
        <is>
          <t>Acanthurus maculiceps</t>
        </is>
      </c>
      <c r="E204" s="12" t="n">
        <v>50</v>
      </c>
      <c r="F204" s="12">
        <f>IF(D204="",0,D204*E204)</f>
        <v/>
      </c>
    </row>
    <row r="205" ht="15" customHeight="1" s="7">
      <c r="A205" s="12" t="inlineStr">
        <is>
          <t>White-freckled Tang/Spotface surgeonfish (Large)</t>
        </is>
      </c>
      <c r="C205" s="12" t="inlineStr">
        <is>
          <t>Acanthurus maculiceps</t>
        </is>
      </c>
      <c r="E205" s="12" t="n">
        <v>87.5</v>
      </c>
      <c r="F205" s="12">
        <f>IF(D205="",0,D205*E205)</f>
        <v/>
      </c>
    </row>
    <row r="207" ht="15" customHeight="1" s="7">
      <c r="A207" s="11" t="inlineStr">
        <is>
          <t>Sweetlip</t>
        </is>
      </c>
    </row>
    <row r="209" ht="15" customHeight="1" s="7">
      <c r="A209" s="12" t="inlineStr">
        <is>
          <t>Oriental sweetlips (Small)*</t>
        </is>
      </c>
      <c r="C209" s="12" t="inlineStr">
        <is>
          <t>Plectorhinchus orientalis</t>
        </is>
      </c>
      <c r="E209" s="12" t="n">
        <v>3.75</v>
      </c>
      <c r="F209" s="12">
        <f>IF(D209="",0,D209*E209)</f>
        <v/>
      </c>
    </row>
    <row r="210" ht="15" customHeight="1" s="7">
      <c r="A210" s="12" t="inlineStr">
        <is>
          <t>Oriental sweetlips (Large)*</t>
        </is>
      </c>
      <c r="C210" s="12" t="inlineStr">
        <is>
          <t>Plectorhinchus orientalis</t>
        </is>
      </c>
      <c r="E210" s="12" t="n">
        <v>7.5</v>
      </c>
      <c r="F210" s="12">
        <f>IF(D210="",0,D210*E210)</f>
        <v/>
      </c>
    </row>
    <row r="211" ht="15" customHeight="1" s="7">
      <c r="A211" s="12" t="inlineStr">
        <is>
          <t>Harlequin sweetlips (Large)*</t>
        </is>
      </c>
      <c r="C211" s="12" t="inlineStr">
        <is>
          <t>Plectorhinchus chaetodonoides</t>
        </is>
      </c>
      <c r="E211" s="12" t="n">
        <v>7.5</v>
      </c>
      <c r="F211" s="12">
        <f>IF(D211="",0,D211*E211)</f>
        <v/>
      </c>
    </row>
    <row r="213" ht="15" customHeight="1" s="7">
      <c r="A213" s="11" t="inlineStr">
        <is>
          <t>Triggerfish</t>
        </is>
      </c>
    </row>
    <row r="215" ht="15" customHeight="1" s="7">
      <c r="A215" s="12" t="inlineStr">
        <is>
          <t>Black finned/Indian Triggerfish</t>
        </is>
      </c>
      <c r="C215" s="12" t="inlineStr">
        <is>
          <t>Melichthys indicus</t>
        </is>
      </c>
      <c r="E215" s="12" t="n">
        <v>10</v>
      </c>
      <c r="F215" s="12">
        <f>IF(D215="",0,D215*E215)</f>
        <v/>
      </c>
    </row>
    <row r="216" ht="15" customHeight="1" s="7">
      <c r="A216" s="12" t="inlineStr">
        <is>
          <t>Blue Gold/Yellow-spotted Triggerfish (Small 3-6cm)</t>
        </is>
      </c>
      <c r="C216" s="12" t="inlineStr">
        <is>
          <t>Pseudobalistes fuscus</t>
        </is>
      </c>
      <c r="E216" s="12" t="n">
        <v>37.5</v>
      </c>
      <c r="F216" s="12">
        <f>IF(D216="",0,D216*E216)</f>
        <v/>
      </c>
    </row>
    <row r="217" ht="15" customHeight="1" s="7">
      <c r="A217" s="12" t="inlineStr">
        <is>
          <t>Blue Gold/Yellow-spotted Triggerfish (Large)</t>
        </is>
      </c>
      <c r="C217" s="12" t="inlineStr">
        <is>
          <t>Pseudobalistes fuscus</t>
        </is>
      </c>
      <c r="E217" s="12" t="n">
        <v>37.5</v>
      </c>
      <c r="F217" s="12">
        <f>IF(D217="",0,D217*E217)</f>
        <v/>
      </c>
    </row>
    <row r="218" ht="15" customHeight="1" s="7">
      <c r="A218" s="12" t="inlineStr">
        <is>
          <t>Clown Triggerfish (Small 3-6cm)</t>
        </is>
      </c>
      <c r="C218" s="12" t="inlineStr">
        <is>
          <t>Balistoides conspicillum</t>
        </is>
      </c>
      <c r="E218" s="12" t="n">
        <v>31.25</v>
      </c>
      <c r="F218" s="12">
        <f>IF(D218="",0,D218*E218)</f>
        <v/>
      </c>
    </row>
    <row r="219" ht="15" customHeight="1" s="7">
      <c r="A219" s="12" t="inlineStr">
        <is>
          <t>Clown Triggerfish (Large)</t>
        </is>
      </c>
      <c r="C219" s="12" t="inlineStr">
        <is>
          <t>Balistoides conspicillum</t>
        </is>
      </c>
      <c r="E219" s="12" t="n">
        <v>37.5</v>
      </c>
      <c r="F219" s="12">
        <f>IF(D219="",0,D219*E219)</f>
        <v/>
      </c>
    </row>
    <row r="220" ht="15" customHeight="1" s="7">
      <c r="A220" s="12" t="inlineStr">
        <is>
          <t>Green/Yellowface Triggerfish</t>
        </is>
      </c>
      <c r="C220" s="12" t="inlineStr">
        <is>
          <t>Pseudobalistes flavimarginatus</t>
        </is>
      </c>
      <c r="E220" s="12" t="n">
        <v>8.75</v>
      </c>
      <c r="F220" s="12">
        <f>IF(D220="",0,D220*E220)</f>
        <v/>
      </c>
    </row>
    <row r="221" ht="15" customHeight="1" s="7">
      <c r="A221" s="12" t="inlineStr">
        <is>
          <t>Halfmoon/Goldenfinned Triggerfish</t>
        </is>
      </c>
      <c r="C221" s="12" t="inlineStr">
        <is>
          <t>Sufflamen chrysopterum</t>
        </is>
      </c>
      <c r="E221" s="12" t="n">
        <v>6.25</v>
      </c>
      <c r="F221" s="12">
        <f>IF(D221="",0,D221*E221)</f>
        <v/>
      </c>
    </row>
    <row r="222" ht="15" customHeight="1" s="7">
      <c r="A222" s="12" t="inlineStr">
        <is>
          <t>Picasso/Huma Triggerfish (Small 3-6cm)</t>
        </is>
      </c>
      <c r="C222" s="12" t="inlineStr">
        <is>
          <t>Rhinecanthus aculeatus</t>
        </is>
      </c>
      <c r="E222" s="12" t="n">
        <v>5</v>
      </c>
      <c r="F222" s="12">
        <f>IF(D222="",0,D222*E222)</f>
        <v/>
      </c>
    </row>
    <row r="223" ht="15" customHeight="1" s="7">
      <c r="A223" s="12" t="inlineStr">
        <is>
          <t>Rectangle/Wedgetail Triggerfish (Small 3-6cm)</t>
        </is>
      </c>
      <c r="C223" s="12" t="inlineStr">
        <is>
          <t>Rhinecanthus rectangulus</t>
        </is>
      </c>
      <c r="E223" s="12" t="n">
        <v>5.625</v>
      </c>
      <c r="F223" s="12">
        <f>IF(D223="",0,D223*E223)</f>
        <v/>
      </c>
    </row>
    <row r="224" ht="15" customHeight="1" s="7">
      <c r="A224" s="12" t="inlineStr">
        <is>
          <t>Redtooth/Niger Triggerfish (Small 3-7cm)</t>
        </is>
      </c>
      <c r="C224" s="12" t="inlineStr">
        <is>
          <t>Odonus niger</t>
        </is>
      </c>
      <c r="E224" s="12" t="n">
        <v>2.5</v>
      </c>
      <c r="F224" s="12">
        <f>IF(D224="",0,D224*E224)</f>
        <v/>
      </c>
    </row>
    <row r="225" ht="15" customHeight="1" s="7">
      <c r="A225" s="12" t="inlineStr">
        <is>
          <t>Titan/Viridescens Trigger</t>
        </is>
      </c>
      <c r="C225" s="12" t="inlineStr">
        <is>
          <t>Balistoides viridescens</t>
        </is>
      </c>
      <c r="E225" s="12" t="n">
        <v>7.5</v>
      </c>
      <c r="F225" s="12">
        <f>IF(D225="",0,D225*E225)</f>
        <v/>
      </c>
    </row>
    <row r="226" ht="15" customHeight="1" s="7">
      <c r="A226" s="12" t="inlineStr">
        <is>
          <t>Undulatus/Striped Triggerfish</t>
        </is>
      </c>
      <c r="C226" s="12" t="inlineStr">
        <is>
          <t>Balistapus undulatus</t>
        </is>
      </c>
      <c r="E226" s="12" t="n">
        <v>3.75</v>
      </c>
      <c r="F226" s="12">
        <f>IF(D226="",0,D226*E226)</f>
        <v/>
      </c>
    </row>
    <row r="228" ht="15" customHeight="1" s="7">
      <c r="A228" s="11" t="inlineStr">
        <is>
          <t>Wrasse</t>
        </is>
      </c>
    </row>
    <row r="230" ht="15" customHeight="1" s="7">
      <c r="A230" s="12" t="inlineStr">
        <is>
          <t>Splended Leopard/Vermiculite Wrasse (Female)</t>
        </is>
      </c>
      <c r="C230" s="12" t="inlineStr">
        <is>
          <t>Macropharyngodon bipartitus</t>
        </is>
      </c>
      <c r="E230" s="12" t="n">
        <v>5</v>
      </c>
      <c r="F230" s="12">
        <f>IF(D230="",0,D230*E230)</f>
        <v/>
      </c>
    </row>
    <row r="231" ht="15" customHeight="1" s="7">
      <c r="A231" s="12" t="inlineStr">
        <is>
          <t>Splended Leopard/Vermiculite Wrasse (Male)</t>
        </is>
      </c>
      <c r="C231" s="12" t="inlineStr">
        <is>
          <t>Macropharyngodon bipartitus</t>
        </is>
      </c>
      <c r="E231" s="12" t="n">
        <v>5.625</v>
      </c>
      <c r="F231" s="12">
        <f>IF(D231="",0,D231*E231)</f>
        <v/>
      </c>
    </row>
    <row r="232" ht="15" customHeight="1" s="7">
      <c r="A232" s="12" t="inlineStr">
        <is>
          <t>Lemon Meringue/Whitebelly Wrasse</t>
        </is>
      </c>
      <c r="C232" s="12" t="inlineStr">
        <is>
          <t>Halichoeres leucoxanthus</t>
        </is>
      </c>
      <c r="E232" s="12" t="n">
        <v>3.75</v>
      </c>
      <c r="F232" s="12">
        <f>IF(D232="",0,D232*E232)</f>
        <v/>
      </c>
    </row>
    <row r="233" ht="15" customHeight="1" s="7">
      <c r="A233" s="12" t="inlineStr">
        <is>
          <t>White/Threespot Wrasse</t>
        </is>
      </c>
      <c r="C233" s="12" t="inlineStr">
        <is>
          <t>Halichoeres trispilus</t>
        </is>
      </c>
      <c r="E233" s="12" t="n">
        <v>4.375</v>
      </c>
      <c r="F233" s="12">
        <f>IF(D233="",0,D233*E233)</f>
        <v/>
      </c>
    </row>
    <row r="234" ht="15" customHeight="1" s="7">
      <c r="A234" s="12" t="inlineStr">
        <is>
          <t>Dusky/Saddled Rainbowfish</t>
        </is>
      </c>
      <c r="C234" s="12" t="inlineStr">
        <is>
          <t>Halichoeres marginatus</t>
        </is>
      </c>
      <c r="E234" s="12" t="n">
        <v>3.125</v>
      </c>
      <c r="F234" s="12">
        <f>IF(D234="",0,D234*E234)</f>
        <v/>
      </c>
    </row>
    <row r="235" ht="15" customHeight="1" s="7">
      <c r="A235" s="12" t="inlineStr">
        <is>
          <t>Zigzag/Brownbanded Wrasse</t>
        </is>
      </c>
      <c r="C235" s="12" t="inlineStr">
        <is>
          <t>Halichoeres scapularis</t>
        </is>
      </c>
      <c r="E235" s="12" t="n">
        <v>3.125</v>
      </c>
      <c r="F235" s="12">
        <f>IF(D235="",0,D235*E235)</f>
        <v/>
      </c>
    </row>
    <row r="236" ht="15" customHeight="1" s="7">
      <c r="A236" s="12" t="inlineStr">
        <is>
          <t>Nebulous Wrasse/Saddled Rainbowfish</t>
        </is>
      </c>
      <c r="C236" s="12" t="inlineStr">
        <is>
          <t>Halichoeres nebulosus</t>
        </is>
      </c>
      <c r="E236" s="12" t="n">
        <v>3.75</v>
      </c>
      <c r="F236" s="12">
        <f>IF(D236="",0,D236*E236)</f>
        <v/>
      </c>
    </row>
    <row r="237" ht="15" customHeight="1" s="7">
      <c r="A237" s="12" t="inlineStr">
        <is>
          <t>Bluespotted/Green Wrasse</t>
        </is>
      </c>
      <c r="C237" s="12" t="inlineStr">
        <is>
          <t>Anampses caeruleopunctatus</t>
        </is>
      </c>
      <c r="E237" s="12" t="n">
        <v>5</v>
      </c>
      <c r="F237" s="12">
        <f>IF(D237="",0,D237*E237)</f>
        <v/>
      </c>
    </row>
    <row r="238" ht="15" customHeight="1" s="7">
      <c r="A238" s="12" t="inlineStr">
        <is>
          <t>Speckled/Spotted wrasse</t>
        </is>
      </c>
      <c r="C238" s="12" t="inlineStr">
        <is>
          <t>Anampses meleagrides</t>
        </is>
      </c>
      <c r="E238" s="12" t="n">
        <v>6.25</v>
      </c>
      <c r="F238" s="12">
        <f>IF(D238="",0,D238*E238)</f>
        <v/>
      </c>
    </row>
    <row r="239" ht="15" customHeight="1" s="7">
      <c r="A239" s="12" t="inlineStr">
        <is>
          <t>Lined Wrasse</t>
        </is>
      </c>
      <c r="C239" s="12" t="inlineStr">
        <is>
          <t>Anampses lineatus</t>
        </is>
      </c>
      <c r="E239" s="12" t="n">
        <v>4.375</v>
      </c>
      <c r="F239" s="12">
        <f>IF(D239="",0,D239*E239)</f>
        <v/>
      </c>
    </row>
    <row r="240" ht="15" customHeight="1" s="7">
      <c r="A240" s="12" t="inlineStr">
        <is>
          <t>Indian Ocean Pinstriped/Vroliks Wrasse</t>
        </is>
      </c>
      <c r="C240" s="12" t="inlineStr">
        <is>
          <t>Halichoeres vrolikii</t>
        </is>
      </c>
      <c r="E240" s="12" t="n">
        <v>3.125</v>
      </c>
      <c r="F240" s="12">
        <f>IF(D240="",0,D240*E240)</f>
        <v/>
      </c>
    </row>
    <row r="241" ht="15" customHeight="1" s="7">
      <c r="A241" s="12" t="inlineStr">
        <is>
          <t>Adorned Wrasse (Female)</t>
        </is>
      </c>
      <c r="C241" s="12" t="inlineStr">
        <is>
          <t>Halichoeres cosmetus</t>
        </is>
      </c>
      <c r="E241" s="12" t="n">
        <v>3.75</v>
      </c>
      <c r="F241" s="12">
        <f>IF(D241="",0,D241*E241)</f>
        <v/>
      </c>
    </row>
    <row r="242" ht="15" customHeight="1" s="7">
      <c r="A242" s="12" t="inlineStr">
        <is>
          <t>Bluestreak Cleaner Wrasse/Cleanerfish</t>
        </is>
      </c>
      <c r="C242" s="12" t="inlineStr">
        <is>
          <t>Labroides dimidiatus</t>
        </is>
      </c>
      <c r="E242" s="12" t="n">
        <v>1.875</v>
      </c>
      <c r="F242" s="12">
        <f>IF(D242="",0,D242*E242)</f>
        <v/>
      </c>
    </row>
    <row r="243" ht="15" customHeight="1" s="7">
      <c r="A243" s="12" t="inlineStr">
        <is>
          <t>Bicolour Cleaner Wrasse</t>
        </is>
      </c>
      <c r="C243" s="12" t="inlineStr">
        <is>
          <t>Labroides bicolour</t>
        </is>
      </c>
      <c r="E243" s="12" t="n">
        <v>3.75</v>
      </c>
      <c r="F243" s="12">
        <f>IF(D243="",0,D243*E243)</f>
        <v/>
      </c>
    </row>
    <row r="244" ht="15" customHeight="1" s="7">
      <c r="A244" s="12" t="inlineStr">
        <is>
          <t>Green Birdmouth/Bird Wrasse (Male)</t>
        </is>
      </c>
      <c r="C244" s="12" t="inlineStr">
        <is>
          <t>Gomphosus caeruleus</t>
        </is>
      </c>
      <c r="E244" s="12" t="n">
        <v>5</v>
      </c>
      <c r="F244" s="12">
        <f>IF(D244="",0,D244*E244)</f>
        <v/>
      </c>
    </row>
    <row r="245" ht="15" customHeight="1" s="7">
      <c r="A245" s="12" t="inlineStr">
        <is>
          <t>Green Birdmouth/Bird Wrasse (Female)</t>
        </is>
      </c>
      <c r="C245" s="12" t="inlineStr">
        <is>
          <t>Gomphosus caeruleus</t>
        </is>
      </c>
      <c r="E245" s="12" t="n">
        <v>5</v>
      </c>
      <c r="F245" s="12">
        <f>IF(D245="",0,D245*E245)</f>
        <v/>
      </c>
    </row>
    <row r="246" ht="15" customHeight="1" s="7">
      <c r="A246" s="12" t="inlineStr">
        <is>
          <t>Two-tone/Bluntheaded Wrasse</t>
        </is>
      </c>
      <c r="C246" s="12" t="inlineStr">
        <is>
          <t>Thalassoma amblycephalum</t>
        </is>
      </c>
      <c r="E246" s="12" t="n">
        <v>3.75</v>
      </c>
      <c r="F246" s="12">
        <f>IF(D246="",0,D246*E246)</f>
        <v/>
      </c>
    </row>
    <row r="247" ht="15" customHeight="1" s="7">
      <c r="A247" s="12" t="inlineStr">
        <is>
          <t>Sixbar Wrasse</t>
        </is>
      </c>
      <c r="C247" s="12" t="inlineStr">
        <is>
          <t>Thalassoma hardwicke</t>
        </is>
      </c>
      <c r="E247" s="12" t="n">
        <v>3.75</v>
      </c>
      <c r="F247" s="12">
        <f>IF(D247="",0,D247*E247)</f>
        <v/>
      </c>
    </row>
    <row r="248" ht="15" customHeight="1" s="7">
      <c r="A248" s="12" t="inlineStr">
        <is>
          <t>Moon Wrasse</t>
        </is>
      </c>
      <c r="C248" s="12" t="inlineStr">
        <is>
          <t>Thalassoma lunare</t>
        </is>
      </c>
      <c r="E248" s="12" t="n">
        <v>3.75</v>
      </c>
      <c r="F248" s="12">
        <f>IF(D248="",0,D248*E248)</f>
        <v/>
      </c>
    </row>
    <row r="249" ht="15" customHeight="1" s="7">
      <c r="A249" s="12" t="inlineStr">
        <is>
          <t>Fivestripe/Red-ribbon Wrasse</t>
        </is>
      </c>
      <c r="C249" s="12" t="inlineStr">
        <is>
          <t>Thalassoma quinquevittatum</t>
        </is>
      </c>
      <c r="E249" s="12" t="n">
        <v>5</v>
      </c>
      <c r="F249" s="12">
        <f>IF(D249="",0,D249*E249)</f>
        <v/>
      </c>
    </row>
    <row r="250" ht="15" customHeight="1" s="7">
      <c r="A250" s="12" t="inlineStr">
        <is>
          <t>Jansen's Wrasse</t>
        </is>
      </c>
      <c r="C250" s="12" t="inlineStr">
        <is>
          <t>Thalassoma jansenii</t>
        </is>
      </c>
      <c r="E250" s="12" t="n">
        <v>3.75</v>
      </c>
      <c r="F250" s="12">
        <f>IF(D250="",0,D250*E250)</f>
        <v/>
      </c>
    </row>
    <row r="251" ht="15" customHeight="1" s="7">
      <c r="A251" s="12" t="inlineStr">
        <is>
          <t>Exquisite Wrasse (Female)</t>
        </is>
      </c>
      <c r="C251" s="12" t="inlineStr">
        <is>
          <t>Cirrhilabrus exquisitus</t>
        </is>
      </c>
      <c r="E251" s="12" t="n">
        <v>3.75</v>
      </c>
      <c r="F251" s="12">
        <f>IF(D251="",0,D251*E251)</f>
        <v/>
      </c>
    </row>
    <row r="252" ht="15" customHeight="1" s="7">
      <c r="A252" s="12" t="inlineStr">
        <is>
          <t>Exquisite Wrasse (Male)</t>
        </is>
      </c>
      <c r="C252" s="12" t="inlineStr">
        <is>
          <t>Cirrhilabrus exquisitus</t>
        </is>
      </c>
      <c r="E252" s="12" t="n">
        <v>4.375</v>
      </c>
      <c r="F252" s="12">
        <f>IF(D252="",0,D252*E252)</f>
        <v/>
      </c>
    </row>
    <row r="253" ht="15" customHeight="1" s="7">
      <c r="A253" s="12" t="inlineStr">
        <is>
          <t>Red Velvet/Rosy-scales Fairy Wrasse (Female)</t>
        </is>
      </c>
      <c r="C253" s="12" t="inlineStr">
        <is>
          <t>Cirrhilabrus rubrisquamis</t>
        </is>
      </c>
      <c r="E253" s="12" t="n">
        <v>6.25</v>
      </c>
      <c r="F253" s="12">
        <f>IF(D253="",0,D253*E253)</f>
        <v/>
      </c>
    </row>
    <row r="254" ht="15" customHeight="1" s="7">
      <c r="A254" s="12" t="inlineStr">
        <is>
          <t>Red Velvet/Rosy-scales Fairy Wrasse (Male)</t>
        </is>
      </c>
      <c r="C254" s="12" t="inlineStr">
        <is>
          <t>Cirrhilabrus rubrisquamis</t>
        </is>
      </c>
      <c r="E254" s="12" t="n">
        <v>6.25</v>
      </c>
      <c r="F254" s="12">
        <f>IF(D254="",0,D254*E254)</f>
        <v/>
      </c>
    </row>
    <row r="255" ht="15" customHeight="1" s="7">
      <c r="A255" s="12" t="inlineStr">
        <is>
          <t>McCosker's/Flasher Wrasse</t>
        </is>
      </c>
      <c r="C255" s="12" t="inlineStr">
        <is>
          <t>Paracheilinus mccoskeri</t>
        </is>
      </c>
      <c r="E255" s="12" t="n">
        <v>6.25</v>
      </c>
      <c r="F255" s="12">
        <f>IF(D255="",0,D255*E255)</f>
        <v/>
      </c>
    </row>
    <row r="256" ht="15" customHeight="1" s="7">
      <c r="A256" s="12" t="inlineStr">
        <is>
          <t>Six-line/Sixstripe Wrasse</t>
        </is>
      </c>
      <c r="C256" s="12" t="inlineStr">
        <is>
          <t>Pseudocheilinus hexataenia</t>
        </is>
      </c>
      <c r="E256" s="12" t="n">
        <v>6.0625</v>
      </c>
      <c r="F256" s="12">
        <f>IF(D256="",0,D256*E256)</f>
        <v/>
      </c>
    </row>
    <row r="257" ht="15" customHeight="1" s="7">
      <c r="A257" s="12" t="inlineStr">
        <is>
          <t>Coral Hogfish, Axilspot hogfish</t>
        </is>
      </c>
      <c r="C257" s="12" t="inlineStr">
        <is>
          <t>Bodianus axillaris</t>
        </is>
      </c>
      <c r="E257" s="12" t="n">
        <v>8.75</v>
      </c>
      <c r="F257" s="12">
        <f>IF(D257="",0,D257*E257)</f>
        <v/>
      </c>
    </row>
    <row r="258" ht="15" customHeight="1" s="7">
      <c r="A258" s="12" t="inlineStr">
        <is>
          <t>Diana's/Indian Diana's Hogfish (Adult)</t>
        </is>
      </c>
      <c r="C258" s="12" t="inlineStr">
        <is>
          <t>Bodianus Diana</t>
        </is>
      </c>
      <c r="E258" s="12" t="n">
        <v>12.5</v>
      </c>
      <c r="F258" s="12">
        <f>IF(D258="",0,D258*E258)</f>
        <v/>
      </c>
    </row>
    <row r="259" ht="15" customHeight="1" s="7">
      <c r="A259" s="12" t="inlineStr">
        <is>
          <t>Diana's/Indian Diana's Hogfish (Juvenile)</t>
        </is>
      </c>
      <c r="C259" s="12" t="inlineStr">
        <is>
          <t>Bodianus Diana</t>
        </is>
      </c>
      <c r="E259" s="12" t="n">
        <v>12.5</v>
      </c>
      <c r="F259" s="12">
        <f>IF(D259="",0,D259*E259)</f>
        <v/>
      </c>
    </row>
    <row r="260" ht="15" customHeight="1" s="7">
      <c r="A260" s="12" t="inlineStr">
        <is>
          <t>Yellow Hogfish</t>
        </is>
      </c>
      <c r="C260" s="12" t="inlineStr">
        <is>
          <t>Bodianus bimaculatus</t>
        </is>
      </c>
      <c r="E260" s="12" t="n">
        <v>12.5</v>
      </c>
      <c r="F260" s="12">
        <f>IF(D260="",0,D260*E260)</f>
        <v/>
      </c>
    </row>
    <row r="261" ht="15" customHeight="1" s="7">
      <c r="A261" s="12" t="inlineStr">
        <is>
          <t>Blacksaddle Hogfish</t>
        </is>
      </c>
      <c r="C261" s="12" t="inlineStr">
        <is>
          <t>Bodianus bilunulatus</t>
        </is>
      </c>
      <c r="E261" s="12" t="n">
        <v>25</v>
      </c>
      <c r="F261" s="12">
        <f>IF(D261="",0,D261*E261)</f>
        <v/>
      </c>
    </row>
    <row r="262" ht="15" customHeight="1" s="7">
      <c r="A262" s="12" t="inlineStr">
        <is>
          <t>African Clown Wrasse, African coris (Adult)</t>
        </is>
      </c>
      <c r="C262" s="12" t="inlineStr">
        <is>
          <t>Coris cuvieri</t>
        </is>
      </c>
      <c r="E262" s="12" t="n">
        <v>3.75</v>
      </c>
      <c r="F262" s="12">
        <f>IF(D262="",0,D262*E262)</f>
        <v/>
      </c>
    </row>
    <row r="263" ht="15" customHeight="1" s="7">
      <c r="A263" s="12" t="inlineStr">
        <is>
          <t>African Clown Wrasse, African coris (Juvenile)</t>
        </is>
      </c>
      <c r="C263" s="12" t="inlineStr">
        <is>
          <t>Coris cuvieri</t>
        </is>
      </c>
      <c r="E263" s="12" t="n">
        <v>5.625</v>
      </c>
      <c r="F263" s="12">
        <f>IF(D263="",0,D263*E263)</f>
        <v/>
      </c>
    </row>
    <row r="264" ht="15" customHeight="1" s="7">
      <c r="A264" s="12" t="inlineStr">
        <is>
          <t>Dragon/Reindeer/Rockmover Wrasse (Adult)</t>
        </is>
      </c>
      <c r="C264" s="12" t="inlineStr">
        <is>
          <t>Novaculichthys taeniourus</t>
        </is>
      </c>
      <c r="E264" s="12" t="n">
        <v>5</v>
      </c>
      <c r="F264" s="12">
        <f>IF(D264="",0,D264*E264)</f>
        <v/>
      </c>
    </row>
    <row r="265" ht="15" customHeight="1" s="7">
      <c r="A265" s="12" t="inlineStr">
        <is>
          <t>Dragon/Reindeer/Rockmover Wrasse (Juvenile)</t>
        </is>
      </c>
      <c r="C265" s="12" t="inlineStr">
        <is>
          <t>Novaculichthys taeniourus</t>
        </is>
      </c>
      <c r="E265" s="12" t="n">
        <v>5</v>
      </c>
      <c r="F265" s="12">
        <f>IF(D265="",0,D265*E265)</f>
        <v/>
      </c>
    </row>
    <row r="266" ht="15" customHeight="1" s="7">
      <c r="A266" s="12" t="inlineStr">
        <is>
          <t>Queen/Red White Wrasse (Adult)</t>
        </is>
      </c>
      <c r="C266" s="12" t="inlineStr">
        <is>
          <t>Coris formosa</t>
        </is>
      </c>
      <c r="E266" s="12" t="n">
        <v>5.625</v>
      </c>
      <c r="F266" s="12">
        <f>IF(D266="",0,D266*E266)</f>
        <v/>
      </c>
    </row>
    <row r="267" ht="15" customHeight="1" s="7">
      <c r="A267" s="12" t="inlineStr">
        <is>
          <t>Queen/Red White Wrasse (Juvenile)</t>
        </is>
      </c>
      <c r="C267" s="12" t="inlineStr">
        <is>
          <t>Coris formosa</t>
        </is>
      </c>
      <c r="E267" s="12" t="n">
        <v>4</v>
      </c>
      <c r="F267" s="12">
        <f>IF(D267="",0,D267*E267)</f>
        <v/>
      </c>
    </row>
    <row r="268" ht="15" customHeight="1" s="7">
      <c r="A268" s="12" t="inlineStr">
        <is>
          <t>Bluelined/Scarletbanded Ribbonfish</t>
        </is>
      </c>
      <c r="C268" s="12" t="inlineStr">
        <is>
          <t>Stethojulis albovittata</t>
        </is>
      </c>
      <c r="E268" s="12" t="n">
        <v>7.5</v>
      </c>
      <c r="F268" s="12">
        <f>IF(D268="",0,D268*E268)</f>
        <v/>
      </c>
    </row>
    <row r="269" ht="15" customHeight="1" s="7">
      <c r="A269" s="12" t="inlineStr">
        <is>
          <t>Blackedge Thicklip Wrasse</t>
        </is>
      </c>
      <c r="C269" s="12" t="inlineStr">
        <is>
          <t>Hemigymnus melapterus</t>
        </is>
      </c>
      <c r="E269" s="12" t="n">
        <v>10</v>
      </c>
      <c r="F269" s="12">
        <f>IF(D269="",0,D269*E269)</f>
        <v/>
      </c>
    </row>
    <row r="272">
      <c r="A272" s="13" t="inlineStr">
        <is>
          <t>Note from supplier:</t>
        </is>
      </c>
    </row>
    <row r="273">
      <c r="A273" s="14" t="inlineStr">
        <is>
          <t>*Rare and/or difficult to get hold of. Some species we can get in good numbers, but others are much limited. Species highlighted in red currently have zero quota, hence not possible to export. We do not hold prior stock of fish. We collect for existing form orders.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2026-02-18T10:15:28Z</dcterms:created>
  <dcterms:modified xmlns:dcterms="http://purl.org/dc/terms/" xmlns:xsi="http://www.w3.org/2001/XMLSchema-instance" xsi:type="dcterms:W3CDTF">2026-02-18T11:06:28Z</dcterms:modified>
  <cp:revision>0</cp:revision>
</cp:coreProperties>
</file>